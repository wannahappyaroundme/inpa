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f92cd75f1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행 요약" sheetId="1" r:id="R7296443c6f434f0c"/>
    <x:sheet xmlns:r="http://schemas.openxmlformats.org/officeDocument/2006/relationships" name="바로 실행" sheetId="2" r:id="R7a0515cda8584efd"/>
    <x:sheet xmlns:r="http://schemas.openxmlformats.org/officeDocument/2006/relationships" name="월별 목표" sheetId="3" r:id="R0d175c12a77f4aa1"/>
    <x:sheet xmlns:r="http://schemas.openxmlformats.org/officeDocument/2006/relationships" name="우선 40곳" sheetId="4" r:id="R6376f6a92cd04d66"/>
    <x:sheet xmlns:r="http://schemas.openxmlformats.org/officeDocument/2006/relationships" name="전체 80곳" sheetId="5" r:id="R4bb0db3722604f2b"/>
    <x:sheet xmlns:r="http://schemas.openxmlformats.org/officeDocument/2006/relationships" name="건물별 동선" sheetId="6" r:id="R784ca97afbc74d1d"/>
    <x:sheet xmlns:r="http://schemas.openxmlformats.org/officeDocument/2006/relationships" name="선정 기준·출처" sheetId="7" r:id="R3fe2313fcc77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&quot;%&quot;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E293B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b/>
      <x:sz val="11"/>
      <x:color rgb="FF166534"/>
      <x:name val="Carlito"/>
    </x:font>
    <x:font>
      <x:b/>
      <x:sz val="11"/>
      <x:color rgb="FFFFFFFF"/>
      <x:name val="Carlito"/>
    </x:font>
    <x:font>
      <x:b/>
      <x:sz val="10"/>
      <x:color rgb="FF1E293B"/>
      <x:name val="Carlito"/>
    </x:font>
    <x:font>
      <x:b/>
      <x:sz val="22"/>
      <x:color rgb="FF0F172A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CCFBF1"/>
      </x:patternFill>
    </x:fill>
    <x:fill>
      <x:patternFill patternType="solid">
        <x:fgColor rgb="FFF1F5F9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1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2" xfId="0" applyNumberFormat="1" applyFont="1" applyFill="1" applyBorder="1" applyAlignment="1">
      <x:alignment horizontal="center"/>
    </x:xf>
    <x:xf numFmtId="0" fontId="8" fillId="3" borderId="3" xfId="0" applyNumberFormat="1" applyFont="1" applyFill="1" applyBorder="1" applyAlignment="1">
      <x:alignment horizontal="center"/>
    </x:xf>
    <x:xf numFmtId="0" fontId="8" fillId="3" borderId="4" xfId="0" applyNumberFormat="1" applyFont="1" applyFill="1" applyBorder="1" applyAlignment="1">
      <x:alignment horizontal="center"/>
    </x:xf>
    <x:xf numFmtId="0" fontId="8" fillId="3" borderId="5" xfId="0" applyNumberFormat="1" applyFont="1" applyFill="1" applyBorder="1" applyAlignment="1">
      <x:alignment horizont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8" fillId="3" borderId="3" xfId="0" applyNumberFormat="1" applyFont="1" applyFill="1" applyBorder="1" applyAlignment="1">
      <x:alignment horizontal="center" vertical="center"/>
    </x:xf>
    <x:xf numFmtId="0" fontId="8" fillId="3" borderId="4" xfId="0" applyNumberFormat="1" applyFont="1" applyFill="1" applyBorder="1" applyAlignment="1">
      <x:alignment horizontal="center" vertical="center"/>
    </x:xf>
    <x:xf numFmtId="0" fontId="8" fillId="3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2" xfId="0" applyNumberFormat="1" applyFont="1" applyFill="1" applyBorder="1" applyAlignment="1">
      <x:alignment horizontal="center"/>
    </x:xf>
    <x:xf numFmtId="0" fontId="8" fillId="7" borderId="3" xfId="0" applyNumberFormat="1" applyFont="1" applyFill="1" applyBorder="1" applyAlignment="1">
      <x:alignment horizontal="center"/>
    </x:xf>
    <x:xf numFmtId="0" fontId="8" fillId="7" borderId="4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/>
    </x:xf>
    <x:xf numFmtId="0" fontId="8" fillId="7" borderId="2" xfId="0" applyNumberFormat="1" applyFont="1" applyFill="1" applyBorder="1" applyAlignment="1">
      <x:alignment horizontal="center" vertical="center"/>
    </x:xf>
    <x:xf numFmtId="0" fontId="8" fillId="7" borderId="3" xfId="0" applyNumberFormat="1" applyFont="1" applyFill="1" applyBorder="1" applyAlignment="1">
      <x:alignment horizontal="center" vertical="center"/>
    </x:xf>
    <x:xf numFmtId="0" fontId="8" fillId="7" borderId="4" xfId="0" applyNumberFormat="1" applyFont="1" applyFill="1" applyBorder="1" applyAlignment="1">
      <x:alignment horizontal="center" vertic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2" xfId="0" applyNumberFormat="1" applyFont="1" applyFill="1" applyBorder="1" applyAlignment="1">
      <x:alignment horizontal="center"/>
    </x:xf>
    <x:xf numFmtId="0" fontId="8" fillId="5" borderId="3" xfId="0" applyNumberFormat="1" applyFont="1" applyFill="1" applyBorder="1" applyAlignment="1">
      <x:alignment horizontal="center"/>
    </x:xf>
    <x:xf numFmtId="0" fontId="8" fillId="5" borderId="4" xfId="0" applyNumberFormat="1" applyFont="1" applyFill="1" applyBorder="1" applyAlignment="1">
      <x:alignment horizontal="center"/>
    </x:xf>
    <x:xf numFmtId="0" fontId="8" fillId="5" borderId="5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 applyAlignment="1">
      <x:alignment horizontal="center" vertical="center"/>
    </x:xf>
    <x:xf numFmtId="0" fontId="8" fillId="5" borderId="3" xfId="0" applyNumberFormat="1" applyFont="1" applyFill="1" applyBorder="1" applyAlignment="1">
      <x:alignment horizontal="center"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2" xfId="0" applyNumberFormat="1" applyFont="1" applyFill="1" applyBorder="1" applyAlignment="1">
      <x:alignment horizontal="center"/>
    </x:xf>
    <x:xf numFmtId="0" fontId="8" fillId="6" borderId="3" xfId="0" applyNumberFormat="1" applyFont="1" applyFill="1" applyBorder="1" applyAlignment="1">
      <x:alignment horizontal="center"/>
    </x:xf>
    <x:xf numFmtId="0" fontId="8" fillId="6" borderId="4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/>
    <x:xf numFmtId="0" fontId="2" fillId="0" borderId="7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8" borderId="5" xfId="0" applyNumberFormat="1" applyFont="1" applyFill="1" applyBorder="1" applyAlignment="1">
      <x:alignment vertical="center" wrapText="1"/>
    </x:xf>
    <x:xf numFmtId="0" fontId="2" fillId="8" borderId="6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2" fillId="8" borderId="7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73f45045844b1" /><Relationship Type="http://schemas.openxmlformats.org/officeDocument/2006/relationships/theme" Target="/xl/theme/theme1.xml" Id="Rb39580861ffb4788" /><Relationship Type="http://schemas.openxmlformats.org/officeDocument/2006/relationships/sharedStrings" Target="/xl/sharedStrings.xml" Id="Rf757fd0f214c42c4" /><Relationship Type="http://schemas.openxmlformats.org/officeDocument/2006/relationships/worksheet" Target="/xl/worksheets/sheet1.xml" Id="R7296443c6f434f0c" /><Relationship Type="http://schemas.openxmlformats.org/officeDocument/2006/relationships/worksheet" Target="/xl/worksheets/sheet2.xml" Id="R7a0515cda8584efd" /><Relationship Type="http://schemas.openxmlformats.org/officeDocument/2006/relationships/worksheet" Target="/xl/worksheets/sheet3.xml" Id="R0d175c12a77f4aa1" /><Relationship Type="http://schemas.openxmlformats.org/officeDocument/2006/relationships/worksheet" Target="/xl/worksheets/sheet4.xml" Id="R6376f6a92cd04d66" /><Relationship Type="http://schemas.openxmlformats.org/officeDocument/2006/relationships/worksheet" Target="/xl/worksheets/sheet5.xml" Id="R4bb0db3722604f2b" /><Relationship Type="http://schemas.openxmlformats.org/officeDocument/2006/relationships/worksheet" Target="/xl/worksheets/sheet6.xml" Id="R784ca97afbc74d1d" /><Relationship Type="http://schemas.openxmlformats.org/officeDocument/2006/relationships/worksheet" Target="/xl/worksheets/sheet7.xml" Id="R3fe2313fcc77496a" /></Relationships>
</file>

<file path=xl/tables/table1.xml><?xml version="1.0" encoding="utf-8"?>
<x:table xmlns:x="http://schemas.openxmlformats.org/spreadsheetml/2006/main" id="4" name="AugustDailyExecutionTable" displayName="AugustDailyExecutionTable" ref="A5:M25" headerRowCount="1" totalsRowCount="0" totalsRowShown="0">
  <x:tableColumns count="13">
    <x:tableColumn id="1" name="날짜"/>
    <x:tableColumn id="2" name="요일"/>
    <x:tableColumn id="3" name="단계"/>
    <x:tableColumn id="4" name="정확한 대상"/>
    <x:tableColumn id="5" name="연락 목표"/>
    <x:tableColumn id="6" name="관리직 약속"/>
    <x:tableColumn id="7" name="현장 미팅"/>
    <x:tableColumn id="8" name="사용 시작"/>
    <x:tableColumn id="9" name="피드백"/>
    <x:tableColumn id="10" name="대표 역할"/>
    <x:tableColumn id="11" name="운영 역할"/>
    <x:tableColumn id="12" name="하루 완료 기준"/>
    <x:tableColumn id="13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MonthlyTargetsTable" displayName="MonthlyTargetsTable" ref="A5:H10" headerRowCount="1" totalsRowCount="0" totalsRowShown="0">
  <x:tableColumns count="8">
    <x:tableColumn id="1" name="월"/>
    <x:tableColumn id="2" name="신규 대상"/>
    <x:tableColumn id="3" name="관리직 미팅"/>
    <x:tableColumn id="4" name="신규 사용"/>
    <x:tableColumn id="5" name="누적 피드백 사용자"/>
    <x:tableColumn id="6" name="장거리 이동 조건"/>
    <x:tableColumn id="7" name="월말 완료 기준"/>
    <x:tableColumn id="8" name="판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iority40Table" displayName="Priority40Table" ref="A5:L45" headerRowCount="1" totalsRowCount="0" totalsRowShown="0">
  <x:tableColumns count="12">
    <x:tableColumn id="1" name="순위"/>
    <x:tableColumn id="2" name="실행주차"/>
    <x:tableColumn id="3" name="권역"/>
    <x:tableColumn id="4" name="건물·클러스터"/>
    <x:tableColumn id="5" name="회사"/>
    <x:tableColumn id="6" name="조직"/>
    <x:tableColumn id="7" name="대상지점"/>
    <x:tableColumn id="8" name="전화"/>
    <x:tableColumn id="9" name="주소"/>
    <x:tableColumn id="10" name="효과점수"/>
    <x:tableColumn id="11" name="권장 접근"/>
    <x:tableColumn id="12" name="공식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Target80Table" displayName="Target80Table" ref="A5:Z85" headerRowCount="1" totalsRowCount="0" totalsRowShown="0">
  <x:tableColumns count="26">
    <x:tableColumn id="1" name="순위"/>
    <x:tableColumn id="2" name="단계"/>
    <x:tableColumn id="3" name="실행주차"/>
    <x:tableColumn id="4" name="권역"/>
    <x:tableColumn id="5" name="건물·클러스터"/>
    <x:tableColumn id="6" name="보험"/>
    <x:tableColumn id="7" name="회사"/>
    <x:tableColumn id="8" name="전속조직"/>
    <x:tableColumn id="9" name="대상지점"/>
    <x:tableColumn id="10" name="주소"/>
    <x:tableColumn id="11" name="전화"/>
    <x:tableColumn id="12" name="관리직 효과"/>
    <x:tableColumn id="13" name="설계사 접점"/>
    <x:tableColumn id="14" name="공식확인"/>
    <x:tableColumn id="15" name="구로 접근"/>
    <x:tableColumn id="16" name="효과점수"/>
    <x:tableColumn id="17" name="권장 접근"/>
    <x:tableColumn id="18" name="연락상태"/>
    <x:tableColumn id="19" name="미팅상태"/>
    <x:tableColumn id="20" name="관리직·팀"/>
    <x:tableColumn id="21" name="최근연락일"/>
    <x:tableColumn id="22" name="미팅일"/>
    <x:tableColumn id="23" name="사용시작자"/>
    <x:tableColumn id="24" name="피드백사용자"/>
    <x:tableColumn id="25" name="메모"/>
    <x:tableColumn id="26" name="공식출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RouteClustersTable" displayName="RouteClustersTable" ref="A5:I15" headerRowCount="1" totalsRowCount="0" totalsRowShown="0">
  <x:tableColumns count="9">
    <x:tableColumn id="1" name="순서"/>
    <x:tableColumn id="2" name="실행주차"/>
    <x:tableColumn id="3" name="권역"/>
    <x:tableColumn id="4" name="건물·클러스터"/>
    <x:tableColumn id="5" name="대표주소"/>
    <x:tableColumn id="6" name="대상수"/>
    <x:tableColumn id="7" name="회사"/>
    <x:tableColumn id="8" name="추천일"/>
    <x:tableColumn id="9" name="운영 방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3324226f1d4e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d9bf5d58714b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27532ae5e94e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f92d2d9d4941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a6628f544640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20" hidden="0" customWidth="1"/>
    <x:col min="3" max="3" width="7.21999979019165" hidden="0" customWidth="1"/>
    <x:col min="4" max="4" width="20" hidden="0" customWidth="1"/>
    <x:col min="5" max="5" width="7.21999979019165" hidden="0" customWidth="1"/>
    <x:col min="6" max="6" width="20" hidden="0" customWidth="1"/>
    <x:col min="7" max="7" width="7.21999979019165" hidden="0" customWidth="1"/>
    <x:col min="8" max="8" width="8.329999923706055" hidden="0" customWidth="1"/>
  </x:cols>
  <x:sheetData>
    <x:row r="1" ht="28" customHeight="1">
      <x:c r="A1" s="4" t="str">
        <x:v>인파 원수사 영업 실행 요약</x:v>
      </x:c>
      <x:c r="B1" s="4" t="str">
        <x:v>인파 원수사 영업 실행 요약</x:v>
      </x:c>
      <x:c r="C1" s="4" t="str">
        <x:v>인파 원수사 영업 실행 요약</x:v>
      </x:c>
      <x:c r="D1" s="4" t="str">
        <x:v>인파 원수사 영업 실행 요약</x:v>
      </x:c>
      <x:c r="E1" s="4" t="str">
        <x:v>인파 원수사 영업 실행 요약</x:v>
      </x:c>
      <x:c r="F1" s="4" t="str">
        <x:v>인파 원수사 영업 실행 요약</x:v>
      </x:c>
      <x:c r="G1" s="4" t="str">
        <x:v>인파 원수사 영업 실행 요약</x:v>
      </x:c>
      <x:c r="H1" s="4" t="str">
        <x:v>인파 원수사 영업 실행 요약</x:v>
      </x:c>
    </x:row>
    <x:row r="2" ht="28" customHeight="1">
      <x:c r="A2" s="4" t="str">
        <x:v>인파 원수사 영업 실행 요약</x:v>
      </x:c>
      <x:c r="B2" s="4" t="str">
        <x:v>인파 원수사 영업 실행 요약</x:v>
      </x:c>
      <x:c r="C2" s="4" t="str">
        <x:v>인파 원수사 영업 실행 요약</x:v>
      </x:c>
      <x:c r="D2" s="4" t="str">
        <x:v>인파 원수사 영업 실행 요약</x:v>
      </x:c>
      <x:c r="E2" s="4" t="str">
        <x:v>인파 원수사 영업 실행 요약</x:v>
      </x:c>
      <x:c r="F2" s="4" t="str">
        <x:v>인파 원수사 영업 실행 요약</x:v>
      </x:c>
      <x:c r="G2" s="4" t="str">
        <x:v>인파 원수사 영업 실행 요약</x:v>
      </x:c>
      <x:c r="H2" s="4" t="str">
        <x:v>인파 원수사 영업 실행 요약</x:v>
      </x:c>
    </x:row>
    <x:row r="3" ht="32" customHeight="1">
      <x:c r="A3" s="8" t="str">
        <x:v>목표: 실제 사용자가 인파를 써보고 지속적으로 피드백하는 상태 20명. 우선 40곳은 8월 서울 서부권, 확장 40곳은 9~11월 수도권·전국 권역입니다.</x:v>
      </x:c>
      <x:c r="B3" s="8" t="str">
        <x:v>목표: 실제 사용자가 인파를 써보고 지속적으로 피드백하는 상태 20명. 우선 40곳은 8월 서울 서부권, 확장 40곳은 9~11월 수도권·전국 권역입니다.</x:v>
      </x:c>
      <x:c r="C3" s="8" t="str">
        <x:v>목표: 실제 사용자가 인파를 써보고 지속적으로 피드백하는 상태 20명. 우선 40곳은 8월 서울 서부권, 확장 40곳은 9~11월 수도권·전국 권역입니다.</x:v>
      </x:c>
      <x:c r="D3" s="8" t="str">
        <x:v>목표: 실제 사용자가 인파를 써보고 지속적으로 피드백하는 상태 20명. 우선 40곳은 8월 서울 서부권, 확장 40곳은 9~11월 수도권·전국 권역입니다.</x:v>
      </x:c>
      <x:c r="E3" s="8" t="str">
        <x:v>목표: 실제 사용자가 인파를 써보고 지속적으로 피드백하는 상태 20명. 우선 40곳은 8월 서울 서부권, 확장 40곳은 9~11월 수도권·전국 권역입니다.</x:v>
      </x:c>
      <x:c r="F3" s="8" t="str">
        <x:v>목표: 실제 사용자가 인파를 써보고 지속적으로 피드백하는 상태 20명. 우선 40곳은 8월 서울 서부권, 확장 40곳은 9~11월 수도권·전국 권역입니다.</x:v>
      </x:c>
      <x:c r="G3" s="8" t="str">
        <x:v>목표: 실제 사용자가 인파를 써보고 지속적으로 피드백하는 상태 20명. 우선 40곳은 8월 서울 서부권, 확장 40곳은 9~11월 수도권·전국 권역입니다.</x:v>
      </x:c>
      <x:c r="H3" s="8" t="str">
        <x:v>목표: 실제 사용자가 인파를 써보고 지속적으로 피드백하는 상태 20명. 우선 40곳은 8월 서울 서부권, 확장 40곳은 9~11월 수도권·전국 권역입니다.</x:v>
      </x:c>
    </x:row>
    <x:row r="5">
      <x:c r="A5" s="40" t="str">
        <x:v>전체 후보</x:v>
      </x:c>
      <x:c r="B5" s="40" t="str">
        <x:v>전체 후보</x:v>
      </x:c>
      <x:c r="C5" s="40" t="str">
        <x:v>8월 우선</x:v>
      </x:c>
      <x:c r="D5" s="40" t="str">
        <x:v>8월 우선</x:v>
      </x:c>
      <x:c r="E5" s="40" t="str">
        <x:v>연락 진행</x:v>
      </x:c>
      <x:c r="F5" s="40" t="str">
        <x:v>연락 진행</x:v>
      </x:c>
      <x:c r="G5" s="40" t="str">
        <x:v>미팅 확정·완료</x:v>
      </x:c>
      <x:c r="H5" s="40" t="str">
        <x:v>미팅 확정·완료</x:v>
      </x:c>
    </x:row>
    <x:row r="6">
      <x:c r="A6" s="50" t="n">
        <x:f>COUNTA('전체 80곳'!$I$6:$I$85)</x:f>
        <x:v>80</x:v>
      </x:c>
      <x:c r="B6" s="51"/>
      <x:c r="C6" s="64" t="n">
        <x:f>COUNTIF('전체 80곳'!$B$6:$B$85,"우선 40")</x:f>
        <x:v>40</x:v>
      </x:c>
      <x:c r="D6" s="65"/>
      <x:c r="E6" s="78" t="n">
        <x:f>COUNTA('전체 80곳'!$R$6:$R$85)-COUNTIF('전체 80곳'!$R$6:$R$85,"미연락")</x:f>
        <x:v>0</x:v>
      </x:c>
      <x:c r="F6" s="79"/>
      <x:c r="G6" s="92" t="n">
        <x:f>COUNTIF('전체 80곳'!$S$6:$S$85,"일정확정")+COUNTIF('전체 80곳'!$S$6:$S$85,"완료")+COUNTIF('전체 80곳'!$S$6:$S$85,"재방문")</x:f>
        <x:v>0</x:v>
      </x:c>
      <x:c r="H6" s="93"/>
    </x:row>
    <x:row r="7">
      <x:c r="A7" s="52"/>
      <x:c r="B7" s="53"/>
      <x:c r="C7" s="66"/>
      <x:c r="D7" s="67"/>
      <x:c r="E7" s="80"/>
      <x:c r="F7" s="81"/>
      <x:c r="G7" s="94"/>
      <x:c r="H7" s="95"/>
    </x:row>
    <x:row r="9">
      <x:c r="A9" s="40" t="str">
        <x:v>사용 시작자</x:v>
      </x:c>
      <x:c r="B9" s="40" t="str">
        <x:v>사용 시작자</x:v>
      </x:c>
      <x:c r="C9" s="40" t="str">
        <x:v>피드백 사용자</x:v>
      </x:c>
      <x:c r="D9" s="40" t="str">
        <x:v>피드백 사용자</x:v>
      </x:c>
      <x:c r="E9" s="40" t="str">
        <x:v>2026 목표</x:v>
      </x:c>
      <x:c r="F9" s="40" t="str">
        <x:v>2026 목표</x:v>
      </x:c>
      <x:c r="G9" s="40" t="str">
        <x:v>남은 인원</x:v>
      </x:c>
      <x:c r="H9" s="40" t="str">
        <x:v>남은 인원</x:v>
      </x:c>
    </x:row>
    <x:row r="10">
      <x:c r="A10" s="50" t="n">
        <x:f>SUM('전체 80곳'!$W$6:$W$85)</x:f>
        <x:v>0</x:v>
      </x:c>
      <x:c r="B10" s="51"/>
      <x:c r="C10" s="92" t="n">
        <x:f>SUM('전체 80곳'!$X$6:$X$85)</x:f>
        <x:v>0</x:v>
      </x:c>
      <x:c r="D10" s="93"/>
      <x:c r="E10" s="64" t="n">
        <x:f>20</x:f>
        <x:v>20</x:v>
      </x:c>
      <x:c r="F10" s="65"/>
      <x:c r="G10" s="78" t="n">
        <x:f>MAX(0,E10-C10)</x:f>
        <x:v>20</x:v>
      </x:c>
      <x:c r="H10" s="79"/>
    </x:row>
    <x:row r="11">
      <x:c r="A11" s="52"/>
      <x:c r="B11" s="53"/>
      <x:c r="C11" s="94"/>
      <x:c r="D11" s="95"/>
      <x:c r="E11" s="66"/>
      <x:c r="F11" s="67"/>
      <x:c r="G11" s="80"/>
      <x:c r="H11" s="81"/>
    </x:row>
    <x:row r="13">
      <x:c r="A13" s="97" t="str">
        <x:v>8월 실행 일정</x:v>
      </x:c>
      <x:c r="B13" s="97" t="str">
        <x:v>8월 실행 일정</x:v>
      </x:c>
      <x:c r="C13" s="97" t="str">
        <x:v>8월 실행 일정</x:v>
      </x:c>
      <x:c r="D13" s="97" t="str">
        <x:v>8월 실행 일정</x:v>
      </x:c>
      <x:c r="E13" s="97" t="str">
        <x:v>8월 실행 일정</x:v>
      </x:c>
      <x:c r="F13" s="97" t="str">
        <x:v>8월 실행 일정</x:v>
      </x:c>
    </x:row>
    <x:row r="14" ht="30" customHeight="1">
      <x:c r="A14" s="34" t="str">
        <x:v>주차</x:v>
      </x:c>
      <x:c r="B14" s="34" t="str">
        <x:v>건물수</x:v>
      </x:c>
      <x:c r="C14" s="34" t="str">
        <x:v>대상지점</x:v>
      </x:c>
      <x:c r="D14" s="34" t="str">
        <x:v>핵심 권역</x:v>
      </x:c>
      <x:c r="E14" s="34" t="str">
        <x:v>현장 목표</x:v>
      </x:c>
      <x:c r="F14" s="34" t="str">
        <x:v>후속 목표</x:v>
      </x:c>
    </x:row>
    <x:row r="15" ht="30" customHeight="1">
      <x:c r="A15" s="24" t="str">
        <x:v>8/3-8/7</x:v>
      </x:c>
      <x:c r="B15" s="24" t="n">
        <x:v>3</x:v>
      </x:c>
      <x:c r="C15" s="24" t="n">
        <x:v>18</x:v>
      </x:c>
      <x:c r="D15" s="24" t="str">
        <x:v>구로·신도림</x:v>
      </x:c>
      <x:c r="E15" s="24" t="str">
        <x:v>관리직 미팅 3~5건</x:v>
      </x:c>
      <x:c r="F15" s="24" t="str">
        <x:v>사용 시작 2명</x:v>
      </x:c>
    </x:row>
    <x:row r="16" ht="30" customHeight="1">
      <x:c r="A16" s="24" t="str">
        <x:v>8/10-8/14</x:v>
      </x:c>
      <x:c r="B16" s="24" t="n">
        <x:v>2</x:v>
      </x:c>
      <x:c r="C16" s="24" t="n">
        <x:v>9</x:v>
      </x:c>
      <x:c r="D16" s="24" t="str">
        <x:v>영등포·문래</x:v>
      </x:c>
      <x:c r="E16" s="24" t="str">
        <x:v>관리직 미팅 3건</x:v>
      </x:c>
      <x:c r="F16" s="24" t="str">
        <x:v>누적 사용 시작 5명</x:v>
      </x:c>
    </x:row>
    <x:row r="17" ht="30" customHeight="1">
      <x:c r="A17" s="24" t="str">
        <x:v>8/17-8/21</x:v>
      </x:c>
      <x:c r="B17" s="24" t="n">
        <x:v>3</x:v>
      </x:c>
      <x:c r="C17" s="24" t="n">
        <x:v>9</x:v>
      </x:c>
      <x:c r="D17" s="24" t="str">
        <x:v>강서·마곡</x:v>
      </x:c>
      <x:c r="E17" s="24" t="str">
        <x:v>관리직 미팅 3건</x:v>
      </x:c>
      <x:c r="F17" s="24" t="str">
        <x:v>누적 피드백 5명</x:v>
      </x:c>
    </x:row>
    <x:row r="18" ht="30" customHeight="1">
      <x:c r="A18" s="24" t="str">
        <x:v>8/24-8/28</x:v>
      </x:c>
      <x:c r="B18" s="24" t="n">
        <x:v>2</x:v>
      </x:c>
      <x:c r="C18" s="24" t="n">
        <x:v>4</x:v>
      </x:c>
      <x:c r="D18" s="24" t="str">
        <x:v>상암·합정</x:v>
      </x:c>
      <x:c r="E18" s="24" t="str">
        <x:v>재방문·심층 인터뷰</x:v>
      </x:c>
      <x:c r="F18" s="24" t="str">
        <x:v>8월 피드백 6명 이상</x:v>
      </x:c>
    </x:row>
    <x:row r="20">
      <x:c r="A20" s="97" t="str">
        <x:v>이번 주 착수 체크</x:v>
      </x:c>
      <x:c r="B20" s="97" t="str">
        <x:v>이번 주 착수 체크</x:v>
      </x:c>
      <x:c r="C20" s="97" t="str">
        <x:v>이번 주 착수 체크</x:v>
      </x:c>
      <x:c r="D20" s="97" t="str">
        <x:v>이번 주 착수 체크</x:v>
      </x:c>
      <x:c r="E20" s="97" t="str">
        <x:v>이번 주 착수 체크</x:v>
      </x:c>
      <x:c r="F20" s="97" t="str">
        <x:v>이번 주 착수 체크</x:v>
      </x:c>
      <x:c r="G20" s="97" t="str">
        <x:v>이번 주 착수 체크</x:v>
      </x:c>
      <x:c r="H20" s="97" t="str">
        <x:v>이번 주 착수 체크</x:v>
      </x:c>
    </x:row>
    <x:row r="21" ht="34" customHeight="1">
      <x:c r="A21" s="125" t="str">
        <x:v>□</x:v>
      </x:c>
      <x:c r="B21" s="126" t="str">
        <x:v>신도림테크노마트 FP 6곳에 전화</x:v>
      </x:c>
      <x:c r="C21" s="126" t="str">
        <x:v>□</x:v>
      </x:c>
      <x:c r="D21" s="126" t="str">
        <x:v>디큐브시티 RC 7곳에 전화</x:v>
      </x:c>
      <x:c r="E21" s="126" t="str">
        <x:v>□</x:v>
      </x:c>
      <x:c r="F21" s="126" t="str">
        <x:v>구로 G밸리 PA 5곳에 전화</x:v>
      </x:c>
      <x:c r="G21" s="126" t="str">
        <x:v>담당</x:v>
      </x:c>
      <x:c r="H21" s="127" t="str">
        <x:v>대표</x:v>
      </x:c>
    </x:row>
    <x:row r="22" ht="34" customHeight="1">
      <x:c r="A22" s="128" t="str">
        <x:v>□</x:v>
      </x:c>
      <x:c r="B22" s="129" t="str">
        <x:v>지점장·팀장 이름 기록</x:v>
      </x:c>
      <x:c r="C22" s="129" t="str">
        <x:v>□</x:v>
      </x:c>
      <x:c r="D22" s="129" t="str">
        <x:v>15분 미팅 목적 설명</x:v>
      </x:c>
      <x:c r="E22" s="129" t="str">
        <x:v>□</x:v>
      </x:c>
      <x:c r="F22" s="129" t="str">
        <x:v>약속 시간 30분 간격 배치</x:v>
      </x:c>
      <x:c r="G22" s="129" t="str">
        <x:v>기한</x:v>
      </x:c>
      <x:c r="H22" s="130" t="str">
        <x:v>8/4</x:v>
      </x:c>
    </x:row>
    <x:row r="23" ht="34" customHeight="1">
      <x:c r="A23" s="128" t="str">
        <x:v>□</x:v>
      </x:c>
      <x:c r="B23" s="129" t="str">
        <x:v>시연용 테스트 계정 점검</x:v>
      </x:c>
      <x:c r="C23" s="129" t="str">
        <x:v>□</x:v>
      </x:c>
      <x:c r="D23" s="129" t="str">
        <x:v>손글씨 엽서 준비</x:v>
      </x:c>
      <x:c r="E23" s="129" t="str">
        <x:v>□</x:v>
      </x:c>
      <x:c r="F23" s="129" t="str">
        <x:v>리플렛·명함·스티커 세트 준비</x:v>
      </x:c>
      <x:c r="G23" s="129" t="str">
        <x:v>목표</x:v>
      </x:c>
      <x:c r="H23" s="130" t="str">
        <x:v>미팅 3건</x:v>
      </x:c>
    </x:row>
    <x:row r="24" ht="34" customHeight="1">
      <x:c r="A24" s="128" t="str">
        <x:v>□</x:v>
      </x:c>
      <x:c r="B24" s="129" t="str">
        <x:v>미팅 후 당일 감사 문자</x:v>
      </x:c>
      <x:c r="C24" s="129" t="str">
        <x:v>□</x:v>
      </x:c>
      <x:c r="D24" s="129" t="str">
        <x:v>48시간 내 첫 사용 확인</x:v>
      </x:c>
      <x:c r="E24" s="129" t="str">
        <x:v>□</x:v>
      </x:c>
      <x:c r="F24" s="129" t="str">
        <x:v>7일 내 커피 인터뷰 제안</x:v>
      </x:c>
      <x:c r="G24" s="129" t="str">
        <x:v>KPI</x:v>
      </x:c>
      <x:c r="H24" s="130" t="str">
        <x:v>사용 2명</x:v>
      </x:c>
    </x:row>
    <x:row r="25" ht="34" customHeight="1">
      <x:c r="A25" s="131" t="str">
        <x:v>□</x:v>
      </x:c>
      <x:c r="B25" s="132" t="str">
        <x:v>거절 사유 한 줄 기록</x:v>
      </x:c>
      <x:c r="C25" s="132" t="str">
        <x:v>□</x:v>
      </x:c>
      <x:c r="D25" s="132" t="str">
        <x:v>소개받은 설계사 별도 등록</x:v>
      </x:c>
      <x:c r="E25" s="132" t="str">
        <x:v>□</x:v>
      </x:c>
      <x:c r="F25" s="132" t="str">
        <x:v>금요일에 다음 주 대상 재정렬</x:v>
      </x:c>
      <x:c r="G25" s="132" t="str">
        <x:v>점검</x:v>
      </x:c>
      <x:c r="H25" s="133" t="str">
        <x:v>8/7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F13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6.110000133514404" hidden="0" customWidth="1"/>
    <x:col min="3" max="3" width="10.5600004196167" hidden="0" customWidth="1"/>
    <x:col min="4" max="4" width="33.33000183105469" hidden="0" customWidth="1"/>
    <x:col min="5" max="5" width="7.78000020980835" hidden="0" customWidth="1"/>
    <x:col min="6" max="6" width="8.890000343322754" hidden="0" customWidth="1"/>
    <x:col min="7" max="7" width="8.329999923706055" hidden="0" customWidth="1"/>
    <x:col min="8" max="8" width="8.329999923706055" hidden="0" customWidth="1"/>
    <x:col min="9" max="9" width="7.78000020980835" hidden="0" customWidth="1"/>
    <x:col min="10" max="10" width="28.889999389648438" hidden="0" customWidth="1"/>
    <x:col min="11" max="11" width="31.110000610351562" hidden="0" customWidth="1"/>
    <x:col min="12" max="12" width="33.33000183105469" hidden="0" customWidth="1"/>
    <x:col min="13" max="13" width="10" hidden="0" customWidth="1"/>
  </x:cols>
  <x:sheetData>
    <x:row r="1" ht="28" customHeight="1">
      <x:c r="A1" s="4" t="str">
        <x:v>8월 날짜별 바로 실행</x:v>
      </x:c>
      <x:c r="B1" s="4" t="str">
        <x:v>8월 날짜별 바로 실행</x:v>
      </x:c>
      <x:c r="C1" s="4" t="str">
        <x:v>8월 날짜별 바로 실행</x:v>
      </x:c>
      <x:c r="D1" s="4" t="str">
        <x:v>8월 날짜별 바로 실행</x:v>
      </x:c>
      <x:c r="E1" s="4" t="str">
        <x:v>8월 날짜별 바로 실행</x:v>
      </x:c>
      <x:c r="F1" s="4" t="str">
        <x:v>8월 날짜별 바로 실행</x:v>
      </x:c>
      <x:c r="G1" s="4" t="str">
        <x:v>8월 날짜별 바로 실행</x:v>
      </x:c>
      <x:c r="H1" s="4" t="str">
        <x:v>8월 날짜별 바로 실행</x:v>
      </x:c>
      <x:c r="I1" s="4" t="str">
        <x:v>8월 날짜별 바로 실행</x:v>
      </x:c>
      <x:c r="J1" s="4" t="str">
        <x:v>8월 날짜별 바로 실행</x:v>
      </x:c>
      <x:c r="K1" s="4" t="str">
        <x:v>8월 날짜별 바로 실행</x:v>
      </x:c>
      <x:c r="L1" s="4" t="str">
        <x:v>8월 날짜별 바로 실행</x:v>
      </x:c>
      <x:c r="M1" s="4" t="str">
        <x:v>8월 날짜별 바로 실행</x:v>
      </x:c>
    </x:row>
    <x:row r="2" ht="28" customHeight="1">
      <x:c r="A2" s="4" t="str">
        <x:v>8월 날짜별 바로 실행</x:v>
      </x:c>
      <x:c r="B2" s="4" t="str">
        <x:v>8월 날짜별 바로 실행</x:v>
      </x:c>
      <x:c r="C2" s="4" t="str">
        <x:v>8월 날짜별 바로 실행</x:v>
      </x:c>
      <x:c r="D2" s="4" t="str">
        <x:v>8월 날짜별 바로 실행</x:v>
      </x:c>
      <x:c r="E2" s="4" t="str">
        <x:v>8월 날짜별 바로 실행</x:v>
      </x:c>
      <x:c r="F2" s="4" t="str">
        <x:v>8월 날짜별 바로 실행</x:v>
      </x:c>
      <x:c r="G2" s="4" t="str">
        <x:v>8월 날짜별 바로 실행</x:v>
      </x:c>
      <x:c r="H2" s="4" t="str">
        <x:v>8월 날짜별 바로 실행</x:v>
      </x:c>
      <x:c r="I2" s="4" t="str">
        <x:v>8월 날짜별 바로 실행</x:v>
      </x:c>
      <x:c r="J2" s="4" t="str">
        <x:v>8월 날짜별 바로 실행</x:v>
      </x:c>
      <x:c r="K2" s="4" t="str">
        <x:v>8월 날짜별 바로 실행</x:v>
      </x:c>
      <x:c r="L2" s="4" t="str">
        <x:v>8월 날짜별 바로 실행</x:v>
      </x:c>
      <x:c r="M2" s="4" t="str">
        <x:v>8월 날짜별 바로 실행</x:v>
      </x:c>
    </x:row>
    <x:row r="3" ht="32" customHeight="1">
      <x:c r="A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B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C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D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E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F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G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H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I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J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K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L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  <x:c r="M3" s="8" t="str">
        <x:v>이 표의 숫자는 활동량이 아니라 완료 기준입니다. 주소로 바로 찾아가지 말고, 전화로 관리직 약속을 잡은 뒤 방문합니다. 사용 시작자는 가입이 아니라 실제 기능을 한 번 써본 사람으로 기록합니다.</x:v>
      </x:c>
    </x:row>
    <x:row r="5" ht="30" customHeight="1">
      <x:c r="A5" s="14" t="str">
        <x:v>날짜</x:v>
      </x:c>
      <x:c r="B5" s="14" t="str">
        <x:v>요일</x:v>
      </x:c>
      <x:c r="C5" s="14" t="str">
        <x:v>단계</x:v>
      </x:c>
      <x:c r="D5" s="14" t="str">
        <x:v>정확한 대상</x:v>
      </x:c>
      <x:c r="E5" s="14" t="str">
        <x:v>연락 목표</x:v>
      </x:c>
      <x:c r="F5" s="14" t="str">
        <x:v>관리직 약속</x:v>
      </x:c>
      <x:c r="G5" s="14" t="str">
        <x:v>현장 미팅</x:v>
      </x:c>
      <x:c r="H5" s="14" t="str">
        <x:v>사용 시작</x:v>
      </x:c>
      <x:c r="I5" s="14" t="str">
        <x:v>피드백</x:v>
      </x:c>
      <x:c r="J5" s="14" t="str">
        <x:v>대표 역할</x:v>
      </x:c>
      <x:c r="K5" s="14" t="str">
        <x:v>운영 역할</x:v>
      </x:c>
      <x:c r="L5" s="14" t="str">
        <x:v>하루 완료 기준</x:v>
      </x:c>
      <x:c r="M5" s="14" t="str">
        <x:v>상태</x:v>
      </x:c>
    </x:row>
    <x:row r="6" ht="48" customHeight="1">
      <x:c r="A6" s="16" t="str">
        <x:v>2026-08-03</x:v>
      </x:c>
      <x:c r="B6" s="16" t="str">
        <x:v>월</x:v>
      </x:c>
      <x:c r="C6" s="16" t="str">
        <x:v>1차 연락</x:v>
      </x:c>
      <x:c r="D6" s="17" t="str">
        <x:v>1~18번: 신도림테크노마트 6, 디큐브시티 7, 구로 G밸리 5</x:v>
      </x:c>
      <x:c r="E6" s="18" t="n">
        <x:v>18</x:v>
      </x:c>
      <x:c r="F6" s="18" t="n">
        <x:v>4</x:v>
      </x:c>
      <x:c r="G6" s="18" t="n">
        <x:v>0</x:v>
      </x:c>
      <x:c r="H6" s="18" t="n">
        <x:v>0</x:v>
      </x:c>
      <x:c r="I6" s="18" t="n">
        <x:v>0</x:v>
      </x:c>
      <x:c r="J6" s="17" t="str">
        <x:v>지점장·팀장 연결 요청, 15분 시연 목적 설명</x:v>
      </x:c>
      <x:c r="K6" s="17" t="str">
        <x:v>통화 결과와 관리직 이름 기록, 미연결 지점 문자 후속</x:v>
      </x:c>
      <x:c r="L6" s="17" t="str">
        <x:v>18곳 모두 담당자·재통화 시간·거절 중 하나로 분류</x:v>
      </x:c>
      <x:c r="M6" s="19" t="str">
        <x:v>대기</x:v>
      </x:c>
    </x:row>
    <x:row r="7" ht="48" customHeight="1">
      <x:c r="A7" s="16" t="str">
        <x:v>2026-08-04</x:v>
      </x:c>
      <x:c r="B7" s="16" t="str">
        <x:v>화</x:v>
      </x:c>
      <x:c r="C7" s="16" t="str">
        <x:v>약속 확정</x:v>
      </x:c>
      <x:c r="D7" s="17" t="str">
        <x:v>1~18번 중 연결·재통화 대상</x:v>
      </x:c>
      <x:c r="E7" s="18" t="n">
        <x:v>12</x:v>
      </x:c>
      <x:c r="F7" s="18" t="n">
        <x:v>6</x:v>
      </x:c>
      <x:c r="G7" s="18" t="n">
        <x:v>0</x:v>
      </x:c>
      <x:c r="H7" s="18" t="n">
        <x:v>0</x:v>
      </x:c>
      <x:c r="I7" s="18" t="n">
        <x:v>0</x:v>
      </x:c>
      <x:c r="J7" s="17" t="str">
        <x:v>미팅 시간 확정, 지점별 30분 간격 배치</x:v>
      </x:c>
      <x:c r="K7" s="17" t="str">
        <x:v>시연 계정 점검, 손글씨 엽서와 인쇄물 세트 준비</x:v>
      </x:c>
      <x:c r="L7" s="17" t="str">
        <x:v>8/5~8/7 관리직 약속 6건 이상 확정</x:v>
      </x:c>
      <x:c r="M7" s="19" t="str">
        <x:v>대기</x:v>
      </x:c>
    </x:row>
    <x:row r="8" ht="48" customHeight="1">
      <x:c r="A8" s="16" t="str">
        <x:v>2026-08-05</x:v>
      </x:c>
      <x:c r="B8" s="16" t="str">
        <x:v>수</x:v>
      </x:c>
      <x:c r="C8" s="16" t="str">
        <x:v>현장</x:v>
      </x:c>
      <x:c r="D8" s="17" t="str">
        <x:v>1~6번: 신도림테크노마트 교보생명 FP</x:v>
      </x:c>
      <x:c r="E8" s="18" t="n">
        <x:v>3</x:v>
      </x:c>
      <x:c r="F8" s="18" t="n">
        <x:v>3</x:v>
      </x:c>
      <x:c r="G8" s="18" t="n">
        <x:v>2</x:v>
      </x:c>
      <x:c r="H8" s="18" t="n">
        <x:v>1</x:v>
      </x:c>
      <x:c r="I8" s="18" t="n">
        <x:v>0</x:v>
      </x:c>
      <x:c r="J8" s="17" t="str">
        <x:v>관리직 15분 시연, 경험 있는 설계사 1명 소개 요청</x:v>
      </x:c>
      <x:c r="K8" s="17" t="str">
        <x:v>차량 대기 중 미팅 기록, 감사 문자 초안 준비</x:v>
      </x:c>
      <x:c r="L8" s="17" t="str">
        <x:v>미팅 2건, 실제 사용 시작 1명, 소개 1명</x:v>
      </x:c>
      <x:c r="M8" s="19" t="str">
        <x:v>대기</x:v>
      </x:c>
    </x:row>
    <x:row r="9" ht="48" customHeight="1">
      <x:c r="A9" s="16" t="str">
        <x:v>2026-08-06</x:v>
      </x:c>
      <x:c r="B9" s="16" t="str">
        <x:v>목</x:v>
      </x:c>
      <x:c r="C9" s="16" t="str">
        <x:v>현장</x:v>
      </x:c>
      <x:c r="D9" s="17" t="str">
        <x:v>7~13번: 신도림 디큐브시티 삼성화재 RC</x:v>
      </x:c>
      <x:c r="E9" s="18" t="n">
        <x:v>4</x:v>
      </x:c>
      <x:c r="F9" s="18" t="n">
        <x:v>3</x:v>
      </x:c>
      <x:c r="G9" s="18" t="n">
        <x:v>3</x:v>
      </x:c>
      <x:c r="H9" s="18" t="n">
        <x:v>1</x:v>
      </x:c>
      <x:c r="I9" s="18" t="n">
        <x:v>0</x:v>
      </x:c>
      <x:c r="J9" s="17" t="str">
        <x:v>관리직 시연, 첫 사용 날짜를 현장에서 확정</x:v>
      </x:c>
      <x:c r="K9" s="17" t="str">
        <x:v>미팅별 반응·거절 이유 기록, 다음 약속 조정</x:v>
      </x:c>
      <x:c r="L9" s="17" t="str">
        <x:v>미팅 3건, 실제 사용 시작 1명, 재접촉 1건</x:v>
      </x:c>
      <x:c r="M9" s="19" t="str">
        <x:v>대기</x:v>
      </x:c>
    </x:row>
    <x:row r="10" ht="48" customHeight="1">
      <x:c r="A10" s="16" t="str">
        <x:v>2026-08-07</x:v>
      </x:c>
      <x:c r="B10" s="16" t="str">
        <x:v>금</x:v>
      </x:c>
      <x:c r="C10" s="16" t="str">
        <x:v>현장·후속</x:v>
      </x:c>
      <x:c r="D10" s="17" t="str">
        <x:v>14~18번: 구로 G밸리 DB손해보험 PA</x:v>
      </x:c>
      <x:c r="E10" s="18" t="n">
        <x:v>5</x:v>
      </x:c>
      <x:c r="F10" s="18" t="n">
        <x:v>2</x:v>
      </x:c>
      <x:c r="G10" s="18" t="n">
        <x:v>2</x:v>
      </x:c>
      <x:c r="H10" s="18" t="n">
        <x:v>1</x:v>
      </x:c>
      <x:c r="I10" s="18" t="n">
        <x:v>1</x:v>
      </x:c>
      <x:c r="J10" s="17" t="str">
        <x:v>미팅과 첫 사용 확인, 다음 주 커피 인터뷰 제안</x:v>
      </x:c>
      <x:c r="K10" s="17" t="str">
        <x:v>1~18번 전체 상태 정리, 다음 주 우선순위 재배치</x:v>
      </x:c>
      <x:c r="L10" s="17" t="str">
        <x:v>주간 합계 미팅 6건 이상, 사용 3명, 피드백 1명</x:v>
      </x:c>
      <x:c r="M10" s="19" t="str">
        <x:v>대기</x:v>
      </x:c>
    </x:row>
    <x:row r="11" ht="48" customHeight="1">
      <x:c r="A11" s="16" t="str">
        <x:v>2026-08-10</x:v>
      </x:c>
      <x:c r="B11" s="16" t="str">
        <x:v>월</x:v>
      </x:c>
      <x:c r="C11" s="16" t="str">
        <x:v>사용 확인</x:v>
      </x:c>
      <x:c r="D11" s="17" t="str">
        <x:v>1주차 사용 시작자와 소개받은 설계사</x:v>
      </x:c>
      <x:c r="E11" s="18" t="n">
        <x:v>6</x:v>
      </x:c>
      <x:c r="F11" s="18" t="n">
        <x:v>1</x:v>
      </x:c>
      <x:c r="G11" s="18" t="n">
        <x:v>0</x:v>
      </x:c>
      <x:c r="H11" s="18" t="n">
        <x:v>0</x:v>
      </x:c>
      <x:c r="I11" s="18" t="n">
        <x:v>2</x:v>
      </x:c>
      <x:c r="J11" s="17" t="str">
        <x:v>사용 중 막힌 지점 10분 통화, 인터뷰 제안</x:v>
      </x:c>
      <x:c r="K11" s="17" t="str">
        <x:v>질문·불편·요청을 기능별로 한 줄씩 기록</x:v>
      </x:c>
      <x:c r="L11" s="17" t="str">
        <x:v>피드백 2명, 재방문 또는 커피 약속 1건</x:v>
      </x:c>
      <x:c r="M11" s="19" t="str">
        <x:v>대기</x:v>
      </x:c>
    </x:row>
    <x:row r="12" ht="48" customHeight="1">
      <x:c r="A12" s="16" t="str">
        <x:v>2026-08-11</x:v>
      </x:c>
      <x:c r="B12" s="16" t="str">
        <x:v>화</x:v>
      </x:c>
      <x:c r="C12" s="16" t="str">
        <x:v>1차 연락</x:v>
      </x:c>
      <x:c r="D12" s="17" t="str">
        <x:v>19~27번: 당산 교보생명 FP 5, 문래 삼성화재 RC 4</x:v>
      </x:c>
      <x:c r="E12" s="18" t="n">
        <x:v>9</x:v>
      </x:c>
      <x:c r="F12" s="18" t="n">
        <x:v>4</x:v>
      </x:c>
      <x:c r="G12" s="18" t="n">
        <x:v>0</x:v>
      </x:c>
      <x:c r="H12" s="18" t="n">
        <x:v>0</x:v>
      </x:c>
      <x:c r="I12" s="18" t="n">
        <x:v>0</x:v>
      </x:c>
      <x:c r="J12" s="17" t="str">
        <x:v>관리직 연결과 방문 시간 확정</x:v>
      </x:c>
      <x:c r="K12" s="17" t="str">
        <x:v>9곳 통화 상태와 담당자 기록, 인쇄물 세트 준비</x:v>
      </x:c>
      <x:c r="L12" s="17" t="str">
        <x:v>9곳 전부 분류, 관리직 약속 4건 이상</x:v>
      </x:c>
      <x:c r="M12" s="19" t="str">
        <x:v>대기</x:v>
      </x:c>
    </x:row>
    <x:row r="13" ht="48" customHeight="1">
      <x:c r="A13" s="16" t="str">
        <x:v>2026-08-12</x:v>
      </x:c>
      <x:c r="B13" s="16" t="str">
        <x:v>수</x:v>
      </x:c>
      <x:c r="C13" s="16" t="str">
        <x:v>현장</x:v>
      </x:c>
      <x:c r="D13" s="17" t="str">
        <x:v>19~23번: 교보생명 당산사옥 FP</x:v>
      </x:c>
      <x:c r="E13" s="18" t="n">
        <x:v>3</x:v>
      </x:c>
      <x:c r="F13" s="18" t="n">
        <x:v>3</x:v>
      </x:c>
      <x:c r="G13" s="18" t="n">
        <x:v>3</x:v>
      </x:c>
      <x:c r="H13" s="18" t="n">
        <x:v>1</x:v>
      </x:c>
      <x:c r="I13" s="18" t="n">
        <x:v>0</x:v>
      </x:c>
      <x:c r="J13" s="17" t="str">
        <x:v>관리직 3명 시연, 설계사 소개 2명 요청</x:v>
      </x:c>
      <x:c r="K13" s="17" t="str">
        <x:v>현장 반응 기록, 감사 문자와 첫 사용 안내</x:v>
      </x:c>
      <x:c r="L13" s="17" t="str">
        <x:v>미팅 3건, 사용 1명, 소개 2명</x:v>
      </x:c>
      <x:c r="M13" s="19" t="str">
        <x:v>대기</x:v>
      </x:c>
    </x:row>
    <x:row r="14" ht="48" customHeight="1">
      <x:c r="A14" s="16" t="str">
        <x:v>2026-08-13</x:v>
      </x:c>
      <x:c r="B14" s="16" t="str">
        <x:v>목</x:v>
      </x:c>
      <x:c r="C14" s="16" t="str">
        <x:v>현장</x:v>
      </x:c>
      <x:c r="D14" s="17" t="str">
        <x:v>24~27번: 문래 세미콜론 삼성화재 RC</x:v>
      </x:c>
      <x:c r="E14" s="18" t="n">
        <x:v>3</x:v>
      </x:c>
      <x:c r="F14" s="18" t="n">
        <x:v>2</x:v>
      </x:c>
      <x:c r="G14" s="18" t="n">
        <x:v>2</x:v>
      </x:c>
      <x:c r="H14" s="18" t="n">
        <x:v>1</x:v>
      </x:c>
      <x:c r="I14" s="18" t="n">
        <x:v>0</x:v>
      </x:c>
      <x:c r="J14" s="17" t="str">
        <x:v>관리직 2명 시연, 사용 시작 시간 약속</x:v>
      </x:c>
      <x:c r="K14" s="17" t="str">
        <x:v>운영 질문 기록, 48시간 확인 일정 등록</x:v>
      </x:c>
      <x:c r="L14" s="17" t="str">
        <x:v>미팅 2건, 사용 1명, 후속 일정 2건</x:v>
      </x:c>
      <x:c r="M14" s="19" t="str">
        <x:v>대기</x:v>
      </x:c>
    </x:row>
    <x:row r="15" ht="48" customHeight="1">
      <x:c r="A15" s="16" t="str">
        <x:v>2026-08-14</x:v>
      </x:c>
      <x:c r="B15" s="16" t="str">
        <x:v>금</x:v>
      </x:c>
      <x:c r="C15" s="16" t="str">
        <x:v>후속·인터뷰</x:v>
      </x:c>
      <x:c r="D15" s="17" t="str">
        <x:v>1~27번 중 사용 시작자·관심 설계사</x:v>
      </x:c>
      <x:c r="E15" s="18" t="n">
        <x:v>6</x:v>
      </x:c>
      <x:c r="F15" s="18" t="n">
        <x:v>1</x:v>
      </x:c>
      <x:c r="G15" s="18" t="n">
        <x:v>0</x:v>
      </x:c>
      <x:c r="H15" s="18" t="n">
        <x:v>0</x:v>
      </x:c>
      <x:c r="I15" s="18" t="n">
        <x:v>2</x:v>
      </x:c>
      <x:c r="J15" s="17" t="str">
        <x:v>커피 심층 인터뷰 1건, 소개 요청</x:v>
      </x:c>
      <x:c r="K15" s="17" t="str">
        <x:v>누적 사용·피드백·거절 이유 정리</x:v>
      </x:c>
      <x:c r="L15" s="17" t="str">
        <x:v>누적 사용 5명, 누적 피드백 3명 이상</x:v>
      </x:c>
      <x:c r="M15" s="19" t="str">
        <x:v>대기</x:v>
      </x:c>
    </x:row>
    <x:row r="16" ht="48" customHeight="1">
      <x:c r="A16" s="16" t="str">
        <x:v>2026-08-17</x:v>
      </x:c>
      <x:c r="B16" s="16" t="str">
        <x:v>월</x:v>
      </x:c>
      <x:c r="C16" s="16" t="str">
        <x:v>1차 연락</x:v>
      </x:c>
      <x:c r="D16" s="17" t="str">
        <x:v>28~36번: 강서 교보생명 FP 4, 마곡 DB PA 3, 삼성화재 RC 2</x:v>
      </x:c>
      <x:c r="E16" s="18" t="n">
        <x:v>9</x:v>
      </x:c>
      <x:c r="F16" s="18" t="n">
        <x:v>4</x:v>
      </x:c>
      <x:c r="G16" s="18" t="n">
        <x:v>0</x:v>
      </x:c>
      <x:c r="H16" s="18" t="n">
        <x:v>0</x:v>
      </x:c>
      <x:c r="I16" s="18" t="n">
        <x:v>0</x:v>
      </x:c>
      <x:c r="J16" s="17" t="str">
        <x:v>관리직 연결, 8/19~8/20 약속 확정</x:v>
      </x:c>
      <x:c r="K16" s="17" t="str">
        <x:v>담당자 이름·시간 기록, 미연결 후속</x:v>
      </x:c>
      <x:c r="L16" s="17" t="str">
        <x:v>9곳 전부 분류, 관리직 약속 4건 이상</x:v>
      </x:c>
      <x:c r="M16" s="19" t="str">
        <x:v>대기</x:v>
      </x:c>
    </x:row>
    <x:row r="17" ht="48" customHeight="1">
      <x:c r="A17" s="16" t="str">
        <x:v>2026-08-18</x:v>
      </x:c>
      <x:c r="B17" s="16" t="str">
        <x:v>화</x:v>
      </x:c>
      <x:c r="C17" s="16" t="str">
        <x:v>약속·사용 확인</x:v>
      </x:c>
      <x:c r="D17" s="17" t="str">
        <x:v>28~36번 재통화, 기존 사용 시작자</x:v>
      </x:c>
      <x:c r="E17" s="18" t="n">
        <x:v>8</x:v>
      </x:c>
      <x:c r="F17" s="18" t="n">
        <x:v>4</x:v>
      </x:c>
      <x:c r="G17" s="18" t="n">
        <x:v>0</x:v>
      </x:c>
      <x:c r="H17" s="18" t="n">
        <x:v>0</x:v>
      </x:c>
      <x:c r="I17" s="18" t="n">
        <x:v>1</x:v>
      </x:c>
      <x:c r="J17" s="17" t="str">
        <x:v>현장 약속 재확인, 기존 사용자 막힘 확인</x:v>
      </x:c>
      <x:c r="K17" s="17" t="str">
        <x:v>시연 계정·동선·인쇄물 세트 점검</x:v>
      </x:c>
      <x:c r="L17" s="17" t="str">
        <x:v>현장 약속 4건 유지, 피드백 1명 추가</x:v>
      </x:c>
      <x:c r="M17" s="19" t="str">
        <x:v>대기</x:v>
      </x:c>
    </x:row>
    <x:row r="18" ht="48" customHeight="1">
      <x:c r="A18" s="16" t="str">
        <x:v>2026-08-19</x:v>
      </x:c>
      <x:c r="B18" s="16" t="str">
        <x:v>수</x:v>
      </x:c>
      <x:c r="C18" s="16" t="str">
        <x:v>현장</x:v>
      </x:c>
      <x:c r="D18" s="17" t="str">
        <x:v>28~31번: 강서 송화쇼핑센터 교보생명 FP</x:v>
      </x:c>
      <x:c r="E18" s="18" t="n">
        <x:v>3</x:v>
      </x:c>
      <x:c r="F18" s="18" t="n">
        <x:v>2</x:v>
      </x:c>
      <x:c r="G18" s="18" t="n">
        <x:v>2</x:v>
      </x:c>
      <x:c r="H18" s="18" t="n">
        <x:v>1</x:v>
      </x:c>
      <x:c r="I18" s="18" t="n">
        <x:v>0</x:v>
      </x:c>
      <x:c r="J18" s="17" t="str">
        <x:v>실제 증권 정리 시연, 경험 설계사 소개 요청</x:v>
      </x:c>
      <x:c r="K18" s="17" t="str">
        <x:v>미팅별 사용 시작일과 48시간 확인 일정 기록</x:v>
      </x:c>
      <x:c r="L18" s="17" t="str">
        <x:v>미팅 2건, 사용 1명, 소개 1명</x:v>
      </x:c>
      <x:c r="M18" s="19" t="str">
        <x:v>대기</x:v>
      </x:c>
    </x:row>
    <x:row r="19" ht="48" customHeight="1">
      <x:c r="A19" s="16" t="str">
        <x:v>2026-08-20</x:v>
      </x:c>
      <x:c r="B19" s="16" t="str">
        <x:v>목</x:v>
      </x:c>
      <x:c r="C19" s="16" t="str">
        <x:v>현장</x:v>
      </x:c>
      <x:c r="D19" s="17" t="str">
        <x:v>32~36번: 마곡 NY타워 DB PA, 마커스빌딩 삼성화재 RC</x:v>
      </x:c>
      <x:c r="E19" s="18" t="n">
        <x:v>4</x:v>
      </x:c>
      <x:c r="F19" s="18" t="n">
        <x:v>3</x:v>
      </x:c>
      <x:c r="G19" s="18" t="n">
        <x:v>3</x:v>
      </x:c>
      <x:c r="H19" s="18" t="n">
        <x:v>2</x:v>
      </x:c>
      <x:c r="I19" s="18" t="n">
        <x:v>0</x:v>
      </x:c>
      <x:c r="J19" s="17" t="str">
        <x:v>오전 DB, 오후 삼성화재 시연과 첫 사용 확정</x:v>
      </x:c>
      <x:c r="K19" s="17" t="str">
        <x:v>두 건물 이동 중 후속 문자, 반응 정리</x:v>
      </x:c>
      <x:c r="L19" s="17" t="str">
        <x:v>미팅 3건, 사용 2명, 후속 일정 3건</x:v>
      </x:c>
      <x:c r="M19" s="19" t="str">
        <x:v>대기</x:v>
      </x:c>
    </x:row>
    <x:row r="20" ht="48" customHeight="1">
      <x:c r="A20" s="16" t="str">
        <x:v>2026-08-21</x:v>
      </x:c>
      <x:c r="B20" s="16" t="str">
        <x:v>금</x:v>
      </x:c>
      <x:c r="C20" s="16" t="str">
        <x:v>후속·인터뷰</x:v>
      </x:c>
      <x:c r="D20" s="17" t="str">
        <x:v>1~36번 중 사용 시작자·관심 설계사</x:v>
      </x:c>
      <x:c r="E20" s="18" t="n">
        <x:v>8</x:v>
      </x:c>
      <x:c r="F20" s="18" t="n">
        <x:v>1</x:v>
      </x:c>
      <x:c r="G20" s="18" t="n">
        <x:v>0</x:v>
      </x:c>
      <x:c r="H20" s="18" t="n">
        <x:v>0</x:v>
      </x:c>
      <x:c r="I20" s="18" t="n">
        <x:v>2</x:v>
      </x:c>
      <x:c r="J20" s="17" t="str">
        <x:v>커피 심층 인터뷰 1건, 소개 요청</x:v>
      </x:c>
      <x:c r="K20" s="17" t="str">
        <x:v>사용자별 피드백을 문제·빈도·영향으로 기록</x:v>
      </x:c>
      <x:c r="L20" s="17" t="str">
        <x:v>누적 사용 8명, 누적 피드백 6명 이상</x:v>
      </x:c>
      <x:c r="M20" s="19" t="str">
        <x:v>대기</x:v>
      </x:c>
    </x:row>
    <x:row r="21" ht="48" customHeight="1">
      <x:c r="A21" s="16" t="str">
        <x:v>2026-08-24</x:v>
      </x:c>
      <x:c r="B21" s="16" t="str">
        <x:v>월</x:v>
      </x:c>
      <x:c r="C21" s="16" t="str">
        <x:v>1차 연락·재접촉</x:v>
      </x:c>
      <x:c r="D21" s="17" t="str">
        <x:v>37~40번 4곳과 이전 보류·관심 8곳</x:v>
      </x:c>
      <x:c r="E21" s="18" t="n">
        <x:v>12</x:v>
      </x:c>
      <x:c r="F21" s="18" t="n">
        <x:v>4</x:v>
      </x:c>
      <x:c r="G21" s="18" t="n">
        <x:v>0</x:v>
      </x:c>
      <x:c r="H21" s="18" t="n">
        <x:v>0</x:v>
      </x:c>
      <x:c r="I21" s="18" t="n">
        <x:v>0</x:v>
      </x:c>
      <x:c r="J21" s="17" t="str">
        <x:v>상암·합정 약속 확정, 보류 대상 재제안</x:v>
      </x:c>
      <x:c r="K21" s="17" t="str">
        <x:v>통화 결과 분류, 이번 주 인터뷰 대상 선정</x:v>
      </x:c>
      <x:c r="L21" s="17" t="str">
        <x:v>관리직 약속 4건, 심층 인터뷰 2건 확정</x:v>
      </x:c>
      <x:c r="M21" s="19" t="str">
        <x:v>대기</x:v>
      </x:c>
    </x:row>
    <x:row r="22" ht="48" customHeight="1">
      <x:c r="A22" s="16" t="str">
        <x:v>2026-08-25</x:v>
      </x:c>
      <x:c r="B22" s="16" t="str">
        <x:v>화</x:v>
      </x:c>
      <x:c r="C22" s="16" t="str">
        <x:v>심층 인터뷰</x:v>
      </x:c>
      <x:c r="D22" s="17" t="str">
        <x:v>기존 피드백 사용자 중 사용량 높은 2명</x:v>
      </x:c>
      <x:c r="E22" s="18" t="n">
        <x:v>2</x:v>
      </x:c>
      <x:c r="F22" s="18" t="n">
        <x:v>0</x:v>
      </x:c>
      <x:c r="G22" s="18" t="n">
        <x:v>0</x:v>
      </x:c>
      <x:c r="H22" s="18" t="n">
        <x:v>0</x:v>
      </x:c>
      <x:c r="I22" s="18" t="n">
        <x:v>2</x:v>
      </x:c>
      <x:c r="J22" s="17" t="str">
        <x:v>커피 인터뷰 2건, 실제 사용 화면을 함께 확인</x:v>
      </x:c>
      <x:c r="K22" s="17" t="str">
        <x:v>발언을 요약하지 말고 상황·행동·불편으로 기록</x:v>
      </x:c>
      <x:c r="L22" s="17" t="str">
        <x:v>심층 인터뷰 2건, 개선 우선순위 3개 도출</x:v>
      </x:c>
      <x:c r="M22" s="19" t="str">
        <x:v>대기</x:v>
      </x:c>
    </x:row>
    <x:row r="23" ht="48" customHeight="1">
      <x:c r="A23" s="16" t="str">
        <x:v>2026-08-26</x:v>
      </x:c>
      <x:c r="B23" s="16" t="str">
        <x:v>수</x:v>
      </x:c>
      <x:c r="C23" s="16" t="str">
        <x:v>현장</x:v>
      </x:c>
      <x:c r="D23" s="17" t="str">
        <x:v>37~38번: 상암 삼성화재 RC</x:v>
      </x:c>
      <x:c r="E23" s="18" t="n">
        <x:v>2</x:v>
      </x:c>
      <x:c r="F23" s="18" t="n">
        <x:v>2</x:v>
      </x:c>
      <x:c r="G23" s="18" t="n">
        <x:v>2</x:v>
      </x:c>
      <x:c r="H23" s="18" t="n">
        <x:v>1</x:v>
      </x:c>
      <x:c r="I23" s="18" t="n">
        <x:v>0</x:v>
      </x:c>
      <x:c r="J23" s="17" t="str">
        <x:v>8월 개선 내용을 반영해 시연, 첫 사용 확정</x:v>
      </x:c>
      <x:c r="K23" s="17" t="str">
        <x:v>현장 반응과 기존 시연 대비 차이 기록</x:v>
      </x:c>
      <x:c r="L23" s="17" t="str">
        <x:v>미팅 2건, 사용 1명, 후속 일정 1건</x:v>
      </x:c>
      <x:c r="M23" s="19" t="str">
        <x:v>대기</x:v>
      </x:c>
    </x:row>
    <x:row r="24" ht="48" customHeight="1">
      <x:c r="A24" s="16" t="str">
        <x:v>2026-08-27</x:v>
      </x:c>
      <x:c r="B24" s="16" t="str">
        <x:v>목</x:v>
      </x:c>
      <x:c r="C24" s="16" t="str">
        <x:v>현장</x:v>
      </x:c>
      <x:c r="D24" s="17" t="str">
        <x:v>39~40번: 합정 DB손해보험 PA</x:v>
      </x:c>
      <x:c r="E24" s="18" t="n">
        <x:v>2</x:v>
      </x:c>
      <x:c r="F24" s="18" t="n">
        <x:v>2</x:v>
      </x:c>
      <x:c r="G24" s="18" t="n">
        <x:v>2</x:v>
      </x:c>
      <x:c r="H24" s="18" t="n">
        <x:v>1</x:v>
      </x:c>
      <x:c r="I24" s="18" t="n">
        <x:v>0</x:v>
      </x:c>
      <x:c r="J24" s="17" t="str">
        <x:v>관리직 시연, 첫 사용과 커피 인터뷰 일정 확정</x:v>
      </x:c>
      <x:c r="K24" s="17" t="str">
        <x:v>감사 문자와 사용 확인 일정 등록</x:v>
      </x:c>
      <x:c r="L24" s="17" t="str">
        <x:v>미팅 2건, 사용 1명, 인터뷰 약속 1건</x:v>
      </x:c>
      <x:c r="M24" s="19" t="str">
        <x:v>대기</x:v>
      </x:c>
    </x:row>
    <x:row r="25" ht="48" customHeight="1">
      <x:c r="A25" s="16" t="str">
        <x:v>2026-08-28</x:v>
      </x:c>
      <x:c r="B25" s="16" t="str">
        <x:v>금</x:v>
      </x:c>
      <x:c r="C25" s="16" t="str">
        <x:v>월 마감</x:v>
      </x:c>
      <x:c r="D25" s="17" t="str">
        <x:v>우선 40곳 전체와 8월 사용 시작자</x:v>
      </x:c>
      <x:c r="E25" s="18" t="n">
        <x:v>10</x:v>
      </x:c>
      <x:c r="F25" s="18" t="n">
        <x:v>0</x:v>
      </x:c>
      <x:c r="G25" s="18" t="n">
        <x:v>0</x:v>
      </x:c>
      <x:c r="H25" s="18" t="n">
        <x:v>0</x:v>
      </x:c>
      <x:c r="I25" s="18" t="n">
        <x:v>2</x:v>
      </x:c>
      <x:c r="J25" s="17" t="str">
        <x:v>보류·거절 사유 확인, 9월 소개 요청</x:v>
      </x:c>
      <x:c r="K25" s="17" t="str">
        <x:v>40곳 상태 마감, 9월 41~56번 연락표 준비</x:v>
      </x:c>
      <x:c r="L25" s="17" t="str">
        <x:v>40곳 100% 분류, 사용 10명, 피드백 8명 목표</x:v>
      </x:c>
      <x:c r="M25" s="19" t="str">
        <x:v>대기</x:v>
      </x:c>
    </x:row>
  </x:sheetData>
  <x:mergeCells>
    <x:mergeCell ref="A1:M2"/>
    <x:mergeCell ref="A3:M3"/>
  </x:mergeCells>
  <x:conditionalFormatting sqref="M6:M25">
    <x:cfRule type="containsText" dxfId="3" priority="1" operator="containsText" text="완료"/>
  </x:conditionalFormatting>
  <x:dataValidations count="1">
    <x:dataValidation type="list" sqref="M6:M25">
      <x:formula1>"대기,진행 중,완료,다음 날 이월"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3324226f1d4e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0" hidden="0" customWidth="1"/>
    <x:col min="3" max="3" width="11.109999656677246" hidden="0" customWidth="1"/>
    <x:col min="4" max="4" width="11.109999656677246" hidden="0" customWidth="1"/>
    <x:col min="5" max="5" width="14.4399995803833" hidden="0" customWidth="1"/>
    <x:col min="6" max="6" width="27.780000686645508" hidden="0" customWidth="1"/>
    <x:col min="7" max="7" width="32.220001220703125" hidden="0" customWidth="1"/>
    <x:col min="8" max="8" width="11.109999656677246" hidden="0" customWidth="1"/>
  </x:cols>
  <x:sheetData>
    <x:row r="1" ht="28" customHeight="1">
      <x:c r="A1" s="4" t="str">
        <x:v>연말 20명 달성 월별 기준</x:v>
      </x:c>
      <x:c r="B1" s="4" t="str">
        <x:v>연말 20명 달성 월별 기준</x:v>
      </x:c>
      <x:c r="C1" s="4" t="str">
        <x:v>연말 20명 달성 월별 기준</x:v>
      </x:c>
      <x:c r="D1" s="4" t="str">
        <x:v>연말 20명 달성 월별 기준</x:v>
      </x:c>
      <x:c r="E1" s="4" t="str">
        <x:v>연말 20명 달성 월별 기준</x:v>
      </x:c>
      <x:c r="F1" s="4" t="str">
        <x:v>연말 20명 달성 월별 기준</x:v>
      </x:c>
      <x:c r="G1" s="4" t="str">
        <x:v>연말 20명 달성 월별 기준</x:v>
      </x:c>
      <x:c r="H1" s="4" t="str">
        <x:v>연말 20명 달성 월별 기준</x:v>
      </x:c>
    </x:row>
    <x:row r="2" ht="28" customHeight="1">
      <x:c r="A2" s="4" t="str">
        <x:v>연말 20명 달성 월별 기준</x:v>
      </x:c>
      <x:c r="B2" s="4" t="str">
        <x:v>연말 20명 달성 월별 기준</x:v>
      </x:c>
      <x:c r="C2" s="4" t="str">
        <x:v>연말 20명 달성 월별 기준</x:v>
      </x:c>
      <x:c r="D2" s="4" t="str">
        <x:v>연말 20명 달성 월별 기준</x:v>
      </x:c>
      <x:c r="E2" s="4" t="str">
        <x:v>연말 20명 달성 월별 기준</x:v>
      </x:c>
      <x:c r="F2" s="4" t="str">
        <x:v>연말 20명 달성 월별 기준</x:v>
      </x:c>
      <x:c r="G2" s="4" t="str">
        <x:v>연말 20명 달성 월별 기준</x:v>
      </x:c>
      <x:c r="H2" s="4" t="str">
        <x:v>연말 20명 달성 월별 기준</x:v>
      </x:c>
    </x:row>
    <x:row r="3" ht="32" customHeight="1">
      <x:c r="A3" s="8" t="str">
        <x:v>월별 완료 기준은 실제 기능 사용과 반복 피드백 여부입니다. 장거리 방문은 같은 권역에서 관리직 약속이 2건 이상 확정된 경우에만 진행합니다.</x:v>
      </x:c>
      <x:c r="B3" s="8" t="str">
        <x:v>월별 완료 기준은 실제 기능 사용과 반복 피드백 여부입니다. 장거리 방문은 같은 권역에서 관리직 약속이 2건 이상 확정된 경우에만 진행합니다.</x:v>
      </x:c>
      <x:c r="C3" s="8" t="str">
        <x:v>월별 완료 기준은 실제 기능 사용과 반복 피드백 여부입니다. 장거리 방문은 같은 권역에서 관리직 약속이 2건 이상 확정된 경우에만 진행합니다.</x:v>
      </x:c>
      <x:c r="D3" s="8" t="str">
        <x:v>월별 완료 기준은 실제 기능 사용과 반복 피드백 여부입니다. 장거리 방문은 같은 권역에서 관리직 약속이 2건 이상 확정된 경우에만 진행합니다.</x:v>
      </x:c>
      <x:c r="E3" s="8" t="str">
        <x:v>월별 완료 기준은 실제 기능 사용과 반복 피드백 여부입니다. 장거리 방문은 같은 권역에서 관리직 약속이 2건 이상 확정된 경우에만 진행합니다.</x:v>
      </x:c>
      <x:c r="F3" s="8" t="str">
        <x:v>월별 완료 기준은 실제 기능 사용과 반복 피드백 여부입니다. 장거리 방문은 같은 권역에서 관리직 약속이 2건 이상 확정된 경우에만 진행합니다.</x:v>
      </x:c>
      <x:c r="G3" s="8" t="str">
        <x:v>월별 완료 기준은 실제 기능 사용과 반복 피드백 여부입니다. 장거리 방문은 같은 권역에서 관리직 약속이 2건 이상 확정된 경우에만 진행합니다.</x:v>
      </x:c>
      <x:c r="H3" s="8" t="str">
        <x:v>월별 완료 기준은 실제 기능 사용과 반복 피드백 여부입니다. 장거리 방문은 같은 권역에서 관리직 약속이 2건 이상 확정된 경우에만 진행합니다.</x:v>
      </x:c>
    </x:row>
    <x:row r="5" ht="30" customHeight="1">
      <x:c r="A5" s="14" t="str">
        <x:v>월</x:v>
      </x:c>
      <x:c r="B5" s="14" t="str">
        <x:v>신규 대상</x:v>
      </x:c>
      <x:c r="C5" s="14" t="str">
        <x:v>관리직 미팅</x:v>
      </x:c>
      <x:c r="D5" s="14" t="str">
        <x:v>신규 사용</x:v>
      </x:c>
      <x:c r="E5" s="14" t="str">
        <x:v>누적 피드백 사용자</x:v>
      </x:c>
      <x:c r="F5" s="14" t="str">
        <x:v>장거리 이동 조건</x:v>
      </x:c>
      <x:c r="G5" s="14" t="str">
        <x:v>월말 완료 기준</x:v>
      </x:c>
      <x:c r="H5" s="14" t="str">
        <x:v>판정</x:v>
      </x:c>
    </x:row>
    <x:row r="6" ht="56" customHeight="1">
      <x:c r="A6" s="25" t="str">
        <x:v>8월</x:v>
      </x:c>
      <x:c r="B6" s="25" t="str">
        <x:v>1~40번 40곳</x:v>
      </x:c>
      <x:c r="C6" s="30" t="n">
        <x:v>18</x:v>
      </x:c>
      <x:c r="D6" s="30" t="n">
        <x:v>10</x:v>
      </x:c>
      <x:c r="E6" s="30" t="n">
        <x:v>8</x:v>
      </x:c>
      <x:c r="F6" s="25" t="str">
        <x:v>서울 서부권 차량 운영</x:v>
      </x:c>
      <x:c r="G6" s="25" t="str">
        <x:v>40곳 상태 100% 분류, 피드백 사용자 8명</x:v>
      </x:c>
      <x:c r="H6" s="31" t="str"/>
    </x:row>
    <x:row r="7" ht="56" customHeight="1">
      <x:c r="A7" s="25" t="str">
        <x:v>9월</x:v>
      </x:c>
      <x:c r="B7" s="25" t="str">
        <x:v>41~56번 16곳</x:v>
      </x:c>
      <x:c r="C7" s="30" t="n">
        <x:v>8</x:v>
      </x:c>
      <x:c r="D7" s="30" t="n">
        <x:v>4</x:v>
      </x:c>
      <x:c r="E7" s="30" t="n">
        <x:v>12</x:v>
      </x:c>
      <x:c r="F7" s="25" t="str">
        <x:v>서울 강남·광명·부천·안양·인천</x:v>
      </x:c>
      <x:c r="G7" s="25" t="str">
        <x:v>누적 피드백 사용자 12명</x:v>
      </x:c>
      <x:c r="H7" s="31" t="str"/>
    </x:row>
    <x:row r="8" ht="56" customHeight="1">
      <x:c r="A8" s="25" t="str">
        <x:v>10월</x:v>
      </x:c>
      <x:c r="B8" s="25" t="str">
        <x:v>57~68번 12곳</x:v>
      </x:c>
      <x:c r="C8" s="30" t="n">
        <x:v>6</x:v>
      </x:c>
      <x:c r="D8" s="30" t="n">
        <x:v>3</x:v>
      </x:c>
      <x:c r="E8" s="30" t="n">
        <x:v>15</x:v>
      </x:c>
      <x:c r="F8" s="25" t="str">
        <x:v>한 권역 2곳 이상 약속 확정 시 이동</x:v>
      </x:c>
      <x:c r="G8" s="25" t="str">
        <x:v>대전·부산·대구 권역 검증, 누적 15명</x:v>
      </x:c>
      <x:c r="H8" s="31" t="str"/>
    </x:row>
    <x:row r="9" ht="56" customHeight="1">
      <x:c r="A9" s="25" t="str">
        <x:v>11월</x:v>
      </x:c>
      <x:c r="B9" s="25" t="str">
        <x:v>69~80번 12곳</x:v>
      </x:c>
      <x:c r="C9" s="30" t="n">
        <x:v>6</x:v>
      </x:c>
      <x:c r="D9" s="30" t="n">
        <x:v>3</x:v>
      </x:c>
      <x:c r="E9" s="30" t="n">
        <x:v>18</x:v>
      </x:c>
      <x:c r="F9" s="25" t="str">
        <x:v>한 권역 2곳 이상 약속 확정 시 이동</x:v>
      </x:c>
      <x:c r="G9" s="25" t="str">
        <x:v>광주·전주·울산·창원·강원·제주 검증, 누적 18명</x:v>
      </x:c>
      <x:c r="H9" s="31" t="str"/>
    </x:row>
    <x:row r="10" ht="56" customHeight="1">
      <x:c r="A10" s="25" t="str">
        <x:v>12월</x:v>
      </x:c>
      <x:c r="B10" s="25" t="str">
        <x:v>기존 사용자와 소개 대상</x:v>
      </x:c>
      <x:c r="C10" s="30" t="n">
        <x:v>6</x:v>
      </x:c>
      <x:c r="D10" s="30" t="n">
        <x:v>2</x:v>
      </x:c>
      <x:c r="E10" s="30" t="n">
        <x:v>20</x:v>
      </x:c>
      <x:c r="F10" s="25" t="str">
        <x:v>신규 장거리 방문보다 재방문 우선</x:v>
      </x:c>
      <x:c r="G10" s="25" t="str">
        <x:v>실제 사용과 반복 피드백이 확인된 20명 확정</x:v>
      </x:c>
      <x:c r="H10" s="31" t="str"/>
    </x:row>
  </x:sheetData>
  <x:mergeCells>
    <x:mergeCell ref="A1:H2"/>
    <x:mergeCell ref="A3:H3"/>
  </x:mergeCells>
  <x:dataValidations count="1">
    <x:dataValidation type="list" sqref="H6:H10">
      <x:formula1>"미달,달성,초과달성"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d9bf5d58714b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0.220000267028809" hidden="0" customWidth="1"/>
    <x:col min="3" max="3" width="10" hidden="0" customWidth="1"/>
    <x:col min="4" max="4" width="16.670000076293945" hidden="0" customWidth="1"/>
    <x:col min="5" max="5" width="10" hidden="0" customWidth="1"/>
    <x:col min="6" max="6" width="6.670000076293945" hidden="0" customWidth="1"/>
    <x:col min="7" max="7" width="13.890000343322754" hidden="0" customWidth="1"/>
    <x:col min="8" max="8" width="11.670000076293945" hidden="0" customWidth="1"/>
    <x:col min="9" max="9" width="38.88999938964844" hidden="0" customWidth="1"/>
    <x:col min="10" max="10" width="7.78000020980835" hidden="0" customWidth="1"/>
    <x:col min="11" max="11" width="32.220001220703125" hidden="0" customWidth="1"/>
    <x:col min="12" max="12" width="30" hidden="0" customWidth="1"/>
  </x:cols>
  <x:sheetData>
    <x:row r="1" ht="28" customHeight="1">
      <x:c r="A1" s="4" t="str">
        <x:v>8월 우선 대상 40곳</x:v>
      </x:c>
      <x:c r="B1" s="4" t="str">
        <x:v>8월 우선 대상 40곳</x:v>
      </x:c>
      <x:c r="C1" s="4" t="str">
        <x:v>8월 우선 대상 40곳</x:v>
      </x:c>
      <x:c r="D1" s="4" t="str">
        <x:v>8월 우선 대상 40곳</x:v>
      </x:c>
      <x:c r="E1" s="4" t="str">
        <x:v>8월 우선 대상 40곳</x:v>
      </x:c>
      <x:c r="F1" s="4" t="str">
        <x:v>8월 우선 대상 40곳</x:v>
      </x:c>
      <x:c r="G1" s="4" t="str">
        <x:v>8월 우선 대상 40곳</x:v>
      </x:c>
      <x:c r="H1" s="4" t="str">
        <x:v>8월 우선 대상 40곳</x:v>
      </x:c>
      <x:c r="I1" s="4" t="str">
        <x:v>8월 우선 대상 40곳</x:v>
      </x:c>
      <x:c r="J1" s="4" t="str">
        <x:v>8월 우선 대상 40곳</x:v>
      </x:c>
      <x:c r="K1" s="4" t="str">
        <x:v>8월 우선 대상 40곳</x:v>
      </x:c>
      <x:c r="L1" s="4" t="str">
        <x:v>8월 우선 대상 40곳</x:v>
      </x:c>
    </x:row>
    <x:row r="2" ht="28" customHeight="1">
      <x:c r="A2" s="4" t="str">
        <x:v>8월 우선 대상 40곳</x:v>
      </x:c>
      <x:c r="B2" s="4" t="str">
        <x:v>8월 우선 대상 40곳</x:v>
      </x:c>
      <x:c r="C2" s="4" t="str">
        <x:v>8월 우선 대상 40곳</x:v>
      </x:c>
      <x:c r="D2" s="4" t="str">
        <x:v>8월 우선 대상 40곳</x:v>
      </x:c>
      <x:c r="E2" s="4" t="str">
        <x:v>8월 우선 대상 40곳</x:v>
      </x:c>
      <x:c r="F2" s="4" t="str">
        <x:v>8월 우선 대상 40곳</x:v>
      </x:c>
      <x:c r="G2" s="4" t="str">
        <x:v>8월 우선 대상 40곳</x:v>
      </x:c>
      <x:c r="H2" s="4" t="str">
        <x:v>8월 우선 대상 40곳</x:v>
      </x:c>
      <x:c r="I2" s="4" t="str">
        <x:v>8월 우선 대상 40곳</x:v>
      </x:c>
      <x:c r="J2" s="4" t="str">
        <x:v>8월 우선 대상 40곳</x:v>
      </x:c>
      <x:c r="K2" s="4" t="str">
        <x:v>8월 우선 대상 40곳</x:v>
      </x:c>
      <x:c r="L2" s="4" t="str">
        <x:v>8월 우선 대상 40곳</x:v>
      </x:c>
    </x:row>
    <x:row r="3" ht="32" customHeight="1">
      <x:c r="A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B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C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D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E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F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G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H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I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J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K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  <x:c r="L3" s="8" t="str">
        <x:v>40개 지점을 10개 건물로 묶었습니다. 주소를 찾아가는 목록이 아니라, 전화로 관리직 미팅을 먼저 확정하는 대상 목록입니다. 전체 진행 기록은 ‘전체 80곳’에서 수정하세요.</x:v>
      </x:c>
    </x:row>
    <x:row r="5" ht="30" customHeight="1">
      <x:c r="A5" s="14" t="str">
        <x:v>순위</x:v>
      </x:c>
      <x:c r="B5" s="14" t="str">
        <x:v>실행주차</x:v>
      </x:c>
      <x:c r="C5" s="14" t="str">
        <x:v>권역</x:v>
      </x:c>
      <x:c r="D5" s="14" t="str">
        <x:v>건물·클러스터</x:v>
      </x:c>
      <x:c r="E5" s="14" t="str">
        <x:v>회사</x:v>
      </x:c>
      <x:c r="F5" s="14" t="str">
        <x:v>조직</x:v>
      </x:c>
      <x:c r="G5" s="14" t="str">
        <x:v>대상지점</x:v>
      </x:c>
      <x:c r="H5" s="14" t="str">
        <x:v>전화</x:v>
      </x:c>
      <x:c r="I5" s="14" t="str">
        <x:v>주소</x:v>
      </x:c>
      <x:c r="J5" s="14" t="str">
        <x:v>효과점수</x:v>
      </x:c>
      <x:c r="K5" s="14" t="str">
        <x:v>권장 접근</x:v>
      </x:c>
      <x:c r="L5" s="14" t="str">
        <x:v>공식출처</x:v>
      </x:c>
    </x:row>
    <x:row r="6" ht="38" customHeight="1">
      <x:c r="A6" s="16" t="n">
        <x:v>1</x:v>
      </x:c>
      <x:c r="B6" s="16" t="str">
        <x:v>8/3-8/7</x:v>
      </x:c>
      <x:c r="C6" s="16" t="str">
        <x:v>구로·신도림</x:v>
      </x:c>
      <x:c r="D6" s="16" t="str">
        <x:v>신도림테크노마트</x:v>
      </x:c>
      <x:c r="E6" s="16" t="str">
        <x:v>교보생명</x:v>
      </x:c>
      <x:c r="F6" s="16" t="str">
        <x:v>FP</x:v>
      </x:c>
      <x:c r="G6" s="16" t="str">
        <x:v>남서울FP</x:v>
      </x:c>
      <x:c r="H6" s="16" t="str">
        <x:v>02-851-2996</x:v>
      </x:c>
      <x:c r="I6" s="17" t="str">
        <x:v>서울 구로구 새말로 97 26층 남서울FP지점 (구로동, 신도림테크노마트)</x:v>
      </x:c>
      <x:c r="J6" s="17" t="n">
        <x:f>'전체 80곳'!P6</x:f>
        <x:v>100</x:v>
      </x:c>
      <x:c r="K6" s="17" t="str">
        <x:v>같은 건물의 지점별 관리직 미팅을 30분 간격으로 사전 확정 → 손글씨 엽서·리플렛·명함·스티커 전달</x:v>
      </x:c>
      <x:c r="L6" s="17" t="str">
        <x:v>https://www.kyobo.com/dgt/web/dtm/cs/ub/PCSUBNL7000</x:v>
      </x:c>
    </x:row>
    <x:row r="7" ht="38" customHeight="1">
      <x:c r="A7" s="16" t="n">
        <x:v>2</x:v>
      </x:c>
      <x:c r="B7" s="16" t="str">
        <x:v>8/3-8/7</x:v>
      </x:c>
      <x:c r="C7" s="16" t="str">
        <x:v>구로·신도림</x:v>
      </x:c>
      <x:c r="D7" s="16" t="str">
        <x:v>신도림테크노마트</x:v>
      </x:c>
      <x:c r="E7" s="16" t="str">
        <x:v>교보생명</x:v>
      </x:c>
      <x:c r="F7" s="16" t="str">
        <x:v>FP</x:v>
      </x:c>
      <x:c r="G7" s="16" t="str">
        <x:v>금천FP</x:v>
      </x:c>
      <x:c r="H7" s="16" t="str">
        <x:v>02-852-1765</x:v>
      </x:c>
      <x:c r="I7" s="17" t="str">
        <x:v>서울 구로구 새말로 97 27층 교보생명 금천FP지점 (구로동, 신도림테크노마트)</x:v>
      </x:c>
      <x:c r="J7" s="17" t="n">
        <x:f>'전체 80곳'!P7</x:f>
        <x:v>100</x:v>
      </x:c>
      <x:c r="K7" s="17" t="str">
        <x:v>같은 건물의 지점별 관리직 미팅을 30분 간격으로 사전 확정 → 손글씨 엽서·리플렛·명함·스티커 전달</x:v>
      </x:c>
      <x:c r="L7" s="17" t="str">
        <x:v>https://www.kyobo.com/dgt/web/dtm/cs/ub/PCSUBNL7000</x:v>
      </x:c>
    </x:row>
    <x:row r="8" ht="38" customHeight="1">
      <x:c r="A8" s="16" t="n">
        <x:v>3</x:v>
      </x:c>
      <x:c r="B8" s="16" t="str">
        <x:v>8/3-8/7</x:v>
      </x:c>
      <x:c r="C8" s="16" t="str">
        <x:v>구로·신도림</x:v>
      </x:c>
      <x:c r="D8" s="16" t="str">
        <x:v>신도림테크노마트</x:v>
      </x:c>
      <x:c r="E8" s="16" t="str">
        <x:v>교보생명</x:v>
      </x:c>
      <x:c r="F8" s="16" t="str">
        <x:v>FP</x:v>
      </x:c>
      <x:c r="G8" s="16" t="str">
        <x:v>대방FP</x:v>
      </x:c>
      <x:c r="H8" s="16" t="str">
        <x:v>02-862-5653</x:v>
      </x:c>
      <x:c r="I8" s="17" t="str">
        <x:v>서울 구로구 새말로 97 26층 (구로동, 신도림테크노마트)</x:v>
      </x:c>
      <x:c r="J8" s="17" t="n">
        <x:f>'전체 80곳'!P8</x:f>
        <x:v>100</x:v>
      </x:c>
      <x:c r="K8" s="17" t="str">
        <x:v>같은 건물의 지점별 관리직 미팅을 30분 간격으로 사전 확정 → 손글씨 엽서·리플렛·명함·스티커 전달</x:v>
      </x:c>
      <x:c r="L8" s="17" t="str">
        <x:v>https://www.kyobo.com/dgt/web/dtm/cs/ub/PCSUBNL7000</x:v>
      </x:c>
    </x:row>
    <x:row r="9" ht="38" customHeight="1">
      <x:c r="A9" s="16" t="n">
        <x:v>4</x:v>
      </x:c>
      <x:c r="B9" s="16" t="str">
        <x:v>8/3-8/7</x:v>
      </x:c>
      <x:c r="C9" s="16" t="str">
        <x:v>구로·신도림</x:v>
      </x:c>
      <x:c r="D9" s="16" t="str">
        <x:v>신도림테크노마트</x:v>
      </x:c>
      <x:c r="E9" s="16" t="str">
        <x:v>교보생명</x:v>
      </x:c>
      <x:c r="F9" s="16" t="str">
        <x:v>FP</x:v>
      </x:c>
      <x:c r="G9" s="16" t="str">
        <x:v>천일FP</x:v>
      </x:c>
      <x:c r="H9" s="16" t="str">
        <x:v>02-837-9758</x:v>
      </x:c>
      <x:c r="I9" s="17" t="str">
        <x:v>서울 구로구 새말로 97 27층 (구로동, 신도림테크노마트)</x:v>
      </x:c>
      <x:c r="J9" s="17" t="n">
        <x:f>'전체 80곳'!P9</x:f>
        <x:v>100</x:v>
      </x:c>
      <x:c r="K9" s="17" t="str">
        <x:v>같은 건물의 지점별 관리직 미팅을 30분 간격으로 사전 확정 → 손글씨 엽서·리플렛·명함·스티커 전달</x:v>
      </x:c>
      <x:c r="L9" s="17" t="str">
        <x:v>https://www.kyobo.com/dgt/web/dtm/cs/ub/PCSUBNL7000</x:v>
      </x:c>
    </x:row>
    <x:row r="10" ht="38" customHeight="1">
      <x:c r="A10" s="16" t="n">
        <x:v>5</x:v>
      </x:c>
      <x:c r="B10" s="16" t="str">
        <x:v>8/3-8/7</x:v>
      </x:c>
      <x:c r="C10" s="16" t="str">
        <x:v>구로·신도림</x:v>
      </x:c>
      <x:c r="D10" s="16" t="str">
        <x:v>신도림테크노마트</x:v>
      </x:c>
      <x:c r="E10" s="16" t="str">
        <x:v>교보생명</x:v>
      </x:c>
      <x:c r="F10" s="16" t="str">
        <x:v>FP</x:v>
      </x:c>
      <x:c r="G10" s="16" t="str">
        <x:v>프라임FP</x:v>
      </x:c>
      <x:c r="H10" s="16" t="str">
        <x:v>02-869-0351</x:v>
      </x:c>
      <x:c r="I10" s="17" t="str">
        <x:v>서울 구로구 새말로 97 27층 (구로동, 신도림테크노마트)</x:v>
      </x:c>
      <x:c r="J10" s="17" t="n">
        <x:f>'전체 80곳'!P10</x:f>
        <x:v>100</x:v>
      </x:c>
      <x:c r="K10" s="17" t="str">
        <x:v>같은 건물의 지점별 관리직 미팅을 30분 간격으로 사전 확정 → 손글씨 엽서·리플렛·명함·스티커 전달</x:v>
      </x:c>
      <x:c r="L10" s="17" t="str">
        <x:v>https://www.kyobo.com/dgt/web/dtm/cs/ub/PCSUBNL7000</x:v>
      </x:c>
    </x:row>
    <x:row r="11" ht="38" customHeight="1">
      <x:c r="A11" s="16" t="n">
        <x:v>6</x:v>
      </x:c>
      <x:c r="B11" s="16" t="str">
        <x:v>8/3-8/7</x:v>
      </x:c>
      <x:c r="C11" s="16" t="str">
        <x:v>구로·신도림</x:v>
      </x:c>
      <x:c r="D11" s="16" t="str">
        <x:v>신도림테크노마트</x:v>
      </x:c>
      <x:c r="E11" s="16" t="str">
        <x:v>교보생명</x:v>
      </x:c>
      <x:c r="F11" s="16" t="str">
        <x:v>FP</x:v>
      </x:c>
      <x:c r="G11" s="16" t="str">
        <x:v>한솔FP</x:v>
      </x:c>
      <x:c r="H11" s="16" t="str">
        <x:v>02-859-7943</x:v>
      </x:c>
      <x:c r="I11" s="17" t="str">
        <x:v>서울 구로구 새말로 97 27층 한솔FP지점 (구로동, 신도림테크노마트)</x:v>
      </x:c>
      <x:c r="J11" s="17" t="n">
        <x:f>'전체 80곳'!P11</x:f>
        <x:v>100</x:v>
      </x:c>
      <x:c r="K11" s="17" t="str">
        <x:v>같은 건물의 지점별 관리직 미팅을 30분 간격으로 사전 확정 → 손글씨 엽서·리플렛·명함·스티커 전달</x:v>
      </x:c>
      <x:c r="L11" s="17" t="str">
        <x:v>https://www.kyobo.com/dgt/web/dtm/cs/ub/PCSUBNL7000</x:v>
      </x:c>
    </x:row>
    <x:row r="12" ht="38" customHeight="1">
      <x:c r="A12" s="16" t="n">
        <x:v>7</x:v>
      </x:c>
      <x:c r="B12" s="16" t="str">
        <x:v>8/3-8/7</x:v>
      </x:c>
      <x:c r="C12" s="16" t="str">
        <x:v>구로·신도림</x:v>
      </x:c>
      <x:c r="D12" s="16" t="str">
        <x:v>신도림 디큐브시티</x:v>
      </x:c>
      <x:c r="E12" s="16" t="str">
        <x:v>삼성화재</x:v>
      </x:c>
      <x:c r="F12" s="16" t="str">
        <x:v>RC</x:v>
      </x:c>
      <x:c r="G12" s="16" t="str">
        <x:v>신도림지점</x:v>
      </x:c>
      <x:c r="H12" s="16" t="str">
        <x:v>02-320-7115</x:v>
      </x:c>
      <x:c r="I12" s="17" t="str">
        <x:v>서울 구로구 경인로 662 29층 삼성화재 신도림지점 (신도림동, 디큐브시티)</x:v>
      </x:c>
      <x:c r="J12" s="17" t="n">
        <x:f>'전체 80곳'!P12</x:f>
        <x:v>100</x:v>
      </x:c>
      <x:c r="K12" s="17" t="str">
        <x:v>같은 건물의 지점별 관리직 미팅을 30분 간격으로 사전 확정 → 손글씨 엽서·리플렛·명함·스티커 전달</x:v>
      </x:c>
      <x:c r="L12" s="17" t="str">
        <x:v>https://www.samsungfire.com/sfmi/ui/m/home/cust/MO_CS_SearchBranchList.html</x:v>
      </x:c>
    </x:row>
    <x:row r="13" ht="38" customHeight="1">
      <x:c r="A13" s="16" t="n">
        <x:v>8</x:v>
      </x:c>
      <x:c r="B13" s="16" t="str">
        <x:v>8/3-8/7</x:v>
      </x:c>
      <x:c r="C13" s="16" t="str">
        <x:v>구로·신도림</x:v>
      </x:c>
      <x:c r="D13" s="16" t="str">
        <x:v>신도림 디큐브시티</x:v>
      </x:c>
      <x:c r="E13" s="16" t="str">
        <x:v>삼성화재</x:v>
      </x:c>
      <x:c r="F13" s="16" t="str">
        <x:v>RC</x:v>
      </x:c>
      <x:c r="G13" s="16" t="str">
        <x:v>영등포지점</x:v>
      </x:c>
      <x:c r="H13" s="16" t="str">
        <x:v>02-320-7230</x:v>
      </x:c>
      <x:c r="I13" s="17" t="str">
        <x:v>서울 구로구 경인로 662 33층 영등포지점 (신도림동, 디큐브시티)</x:v>
      </x:c>
      <x:c r="J13" s="17" t="n">
        <x:f>'전체 80곳'!P13</x:f>
        <x:v>100</x:v>
      </x:c>
      <x:c r="K13" s="17" t="str">
        <x:v>같은 건물의 지점별 관리직 미팅을 30분 간격으로 사전 확정 → 손글씨 엽서·리플렛·명함·스티커 전달</x:v>
      </x:c>
      <x:c r="L13" s="17" t="str">
        <x:v>https://www.samsungfire.com/sfmi/ui/m/home/cust/MO_CS_SearchBranchList.html</x:v>
      </x:c>
    </x:row>
    <x:row r="14" ht="38" customHeight="1">
      <x:c r="A14" s="16" t="n">
        <x:v>9</x:v>
      </x:c>
      <x:c r="B14" s="16" t="str">
        <x:v>8/3-8/7</x:v>
      </x:c>
      <x:c r="C14" s="16" t="str">
        <x:v>구로·신도림</x:v>
      </x:c>
      <x:c r="D14" s="16" t="str">
        <x:v>신도림 디큐브시티</x:v>
      </x:c>
      <x:c r="E14" s="16" t="str">
        <x:v>삼성화재</x:v>
      </x:c>
      <x:c r="F14" s="16" t="str">
        <x:v>RC</x:v>
      </x:c>
      <x:c r="G14" s="16" t="str">
        <x:v>신화지점</x:v>
      </x:c>
      <x:c r="H14" s="16" t="str">
        <x:v>02-330-3540</x:v>
      </x:c>
      <x:c r="I14" s="17" t="str">
        <x:v>서울 구로구 경인로 662 디큐브시티 오피스동 34층 삼성화재 신화지점 (신도림동)</x:v>
      </x:c>
      <x:c r="J14" s="17" t="n">
        <x:f>'전체 80곳'!P14</x:f>
        <x:v>100</x:v>
      </x:c>
      <x:c r="K14" s="17" t="str">
        <x:v>같은 건물의 지점별 관리직 미팅을 30분 간격으로 사전 확정 → 손글씨 엽서·리플렛·명함·스티커 전달</x:v>
      </x:c>
      <x:c r="L14" s="17" t="str">
        <x:v>https://www.samsungfire.com/sfmi/ui/m/home/cust/MO_CS_SearchBranchList.html</x:v>
      </x:c>
    </x:row>
    <x:row r="15" ht="38" customHeight="1">
      <x:c r="A15" s="16" t="n">
        <x:v>10</x:v>
      </x:c>
      <x:c r="B15" s="16" t="str">
        <x:v>8/3-8/7</x:v>
      </x:c>
      <x:c r="C15" s="16" t="str">
        <x:v>구로·신도림</x:v>
      </x:c>
      <x:c r="D15" s="16" t="str">
        <x:v>신도림 디큐브시티</x:v>
      </x:c>
      <x:c r="E15" s="16" t="str">
        <x:v>삼성화재</x:v>
      </x:c>
      <x:c r="F15" s="16" t="str">
        <x:v>RC</x:v>
      </x:c>
      <x:c r="G15" s="16" t="str">
        <x:v>강서삼성지점</x:v>
      </x:c>
      <x:c r="H15" s="16" t="str">
        <x:v>02-850-6151</x:v>
      </x:c>
      <x:c r="I15" s="17" t="str">
        <x:v>서울 구로구 경인로 662 34층 강서삼성지점 (신도림동, 디큐브시티)</x:v>
      </x:c>
      <x:c r="J15" s="17" t="n">
        <x:f>'전체 80곳'!P15</x:f>
        <x:v>100</x:v>
      </x:c>
      <x:c r="K15" s="17" t="str">
        <x:v>같은 건물의 지점별 관리직 미팅을 30분 간격으로 사전 확정 → 손글씨 엽서·리플렛·명함·스티커 전달</x:v>
      </x:c>
      <x:c r="L15" s="17" t="str">
        <x:v>https://www.samsungfire.com/sfmi/ui/m/home/cust/MO_CS_SearchBranchList.html</x:v>
      </x:c>
    </x:row>
    <x:row r="16" ht="38" customHeight="1">
      <x:c r="A16" s="16" t="n">
        <x:v>11</x:v>
      </x:c>
      <x:c r="B16" s="16" t="str">
        <x:v>8/3-8/7</x:v>
      </x:c>
      <x:c r="C16" s="16" t="str">
        <x:v>구로·신도림</x:v>
      </x:c>
      <x:c r="D16" s="16" t="str">
        <x:v>신도림 디큐브시티</x:v>
      </x:c>
      <x:c r="E16" s="16" t="str">
        <x:v>삼성화재</x:v>
      </x:c>
      <x:c r="F16" s="16" t="str">
        <x:v>RC</x:v>
      </x:c>
      <x:c r="G16" s="16" t="str">
        <x:v>노블레스서부지점</x:v>
      </x:c>
      <x:c r="H16" s="16" t="str">
        <x:v>02-330-3511</x:v>
      </x:c>
      <x:c r="I16" s="17" t="str">
        <x:v>서울 구로구 경인로 662 32층 노블레스서부지점 (신도림동, 디큐브시티)</x:v>
      </x:c>
      <x:c r="J16" s="17" t="n">
        <x:f>'전체 80곳'!P16</x:f>
        <x:v>100</x:v>
      </x:c>
      <x:c r="K16" s="17" t="str">
        <x:v>같은 건물의 지점별 관리직 미팅을 30분 간격으로 사전 확정 → 손글씨 엽서·리플렛·명함·스티커 전달</x:v>
      </x:c>
      <x:c r="L16" s="17" t="str">
        <x:v>https://www.samsungfire.com/sfmi/ui/m/home/cust/MO_CS_SearchBranchList.html</x:v>
      </x:c>
    </x:row>
    <x:row r="17" ht="38" customHeight="1">
      <x:c r="A17" s="16" t="n">
        <x:v>12</x:v>
      </x:c>
      <x:c r="B17" s="16" t="str">
        <x:v>8/3-8/7</x:v>
      </x:c>
      <x:c r="C17" s="16" t="str">
        <x:v>구로·신도림</x:v>
      </x:c>
      <x:c r="D17" s="16" t="str">
        <x:v>신도림 디큐브시티</x:v>
      </x:c>
      <x:c r="E17" s="16" t="str">
        <x:v>삼성화재</x:v>
      </x:c>
      <x:c r="F17" s="16" t="str">
        <x:v>RC</x:v>
      </x:c>
      <x:c r="G17" s="16" t="str">
        <x:v>목동금융지점</x:v>
      </x:c>
      <x:c r="H17" s="16" t="str">
        <x:v>02-320-7021</x:v>
      </x:c>
      <x:c r="I17" s="17" t="str">
        <x:v>서울 구로구 경인로 662 35층 서부금융지점 (신도림동, 디큐브시티)</x:v>
      </x:c>
      <x:c r="J17" s="17" t="n">
        <x:f>'전체 80곳'!P17</x:f>
        <x:v>93</x:v>
      </x:c>
      <x:c r="K17" s="17" t="str">
        <x:v>같은 건물의 지점별 관리직 미팅을 30분 간격으로 사전 확정 → 손글씨 엽서·리플렛·명함·스티커 전달</x:v>
      </x:c>
      <x:c r="L17" s="17" t="str">
        <x:v>https://www.samsungfire.com/sfmi/ui/m/home/cust/MO_CS_SearchBranchList.html</x:v>
      </x:c>
    </x:row>
    <x:row r="18" ht="38" customHeight="1">
      <x:c r="A18" s="16" t="n">
        <x:v>13</x:v>
      </x:c>
      <x:c r="B18" s="16" t="str">
        <x:v>8/3-8/7</x:v>
      </x:c>
      <x:c r="C18" s="16" t="str">
        <x:v>구로·신도림</x:v>
      </x:c>
      <x:c r="D18" s="16" t="str">
        <x:v>신도림 디큐브시티</x:v>
      </x:c>
      <x:c r="E18" s="16" t="str">
        <x:v>삼성화재</x:v>
      </x:c>
      <x:c r="F18" s="16" t="str">
        <x:v>RC</x:v>
      </x:c>
      <x:c r="G18" s="16" t="str">
        <x:v>강서금융지점</x:v>
      </x:c>
      <x:c r="H18" s="16" t="str">
        <x:v>02-330-3737</x:v>
      </x:c>
      <x:c r="I18" s="17" t="str">
        <x:v>서울 구로구 경인로 662 35층 당산지점 (신도림동, 디큐브시티)</x:v>
      </x:c>
      <x:c r="J18" s="17" t="n">
        <x:f>'전체 80곳'!P18</x:f>
        <x:v>93</x:v>
      </x:c>
      <x:c r="K18" s="17" t="str">
        <x:v>같은 건물의 지점별 관리직 미팅을 30분 간격으로 사전 확정 → 손글씨 엽서·리플렛·명함·스티커 전달</x:v>
      </x:c>
      <x:c r="L18" s="17" t="str">
        <x:v>https://www.samsungfire.com/sfmi/ui/m/home/cust/MO_CS_SearchBranchList.html</x:v>
      </x:c>
    </x:row>
    <x:row r="19" ht="38" customHeight="1">
      <x:c r="A19" s="16" t="n">
        <x:v>14</x:v>
      </x:c>
      <x:c r="B19" s="16" t="str">
        <x:v>8/3-8/7</x:v>
      </x:c>
      <x:c r="C19" s="16" t="str">
        <x:v>구로디지털</x:v>
      </x:c>
      <x:c r="D19" s="16" t="str">
        <x:v>구로 G밸리</x:v>
      </x:c>
      <x:c r="E19" s="16" t="str">
        <x:v>DB손해보험</x:v>
      </x:c>
      <x:c r="F19" s="16" t="str">
        <x:v>PA</x:v>
      </x:c>
      <x:c r="G19" s="16" t="str">
        <x:v>개봉지점</x:v>
      </x:c>
      <x:c r="H19" s="16" t="str">
        <x:v>02-860-0553</x:v>
      </x:c>
      <x:c r="I19" s="17" t="str">
        <x:v>서울 구로구 디지털로 300 5층 (구로동, 지밸리비즈플라자)</x:v>
      </x:c>
      <x:c r="J19" s="17" t="n">
        <x:f>'전체 80곳'!P19</x:f>
        <x:v>100</x:v>
      </x:c>
      <x:c r="K19" s="17" t="str">
        <x:v>같은 건물의 지점별 관리직 미팅을 30분 간격으로 사전 확정 → 손글씨 엽서·리플렛·명함·스티커 전달</x:v>
      </x:c>
      <x:c r="L19" s="17" t="str">
        <x:v>https://www.idbins.com/FWCUSP1331.do</x:v>
      </x:c>
    </x:row>
    <x:row r="20" ht="38" customHeight="1">
      <x:c r="A20" s="16" t="n">
        <x:v>15</x:v>
      </x:c>
      <x:c r="B20" s="16" t="str">
        <x:v>8/3-8/7</x:v>
      </x:c>
      <x:c r="C20" s="16" t="str">
        <x:v>구로디지털</x:v>
      </x:c>
      <x:c r="D20" s="16" t="str">
        <x:v>구로 G밸리</x:v>
      </x:c>
      <x:c r="E20" s="16" t="str">
        <x:v>DB손해보험</x:v>
      </x:c>
      <x:c r="F20" s="16" t="str">
        <x:v>PA</x:v>
      </x:c>
      <x:c r="G20" s="16" t="str">
        <x:v>금천지점</x:v>
      </x:c>
      <x:c r="H20" s="16" t="str">
        <x:v>02-860-0512</x:v>
      </x:c>
      <x:c r="I20" s="17" t="str">
        <x:v>서울 구로구 디지털로 300 5층 (구로동, 지밸리비즈플라자)</x:v>
      </x:c>
      <x:c r="J20" s="17" t="n">
        <x:f>'전체 80곳'!P20</x:f>
        <x:v>100</x:v>
      </x:c>
      <x:c r="K20" s="17" t="str">
        <x:v>같은 건물의 지점별 관리직 미팅을 30분 간격으로 사전 확정 → 손글씨 엽서·리플렛·명함·스티커 전달</x:v>
      </x:c>
      <x:c r="L20" s="17" t="str">
        <x:v>https://www.idbins.com/FWCUSP1331.do</x:v>
      </x:c>
    </x:row>
    <x:row r="21" ht="38" customHeight="1">
      <x:c r="A21" s="16" t="n">
        <x:v>16</x:v>
      </x:c>
      <x:c r="B21" s="16" t="str">
        <x:v>8/3-8/7</x:v>
      </x:c>
      <x:c r="C21" s="16" t="str">
        <x:v>구로디지털</x:v>
      </x:c>
      <x:c r="D21" s="16" t="str">
        <x:v>구로 G밸리</x:v>
      </x:c>
      <x:c r="E21" s="16" t="str">
        <x:v>DB손해보험</x:v>
      </x:c>
      <x:c r="F21" s="16" t="str">
        <x:v>PA</x:v>
      </x:c>
      <x:c r="G21" s="16" t="str">
        <x:v>상도지점</x:v>
      </x:c>
      <x:c r="H21" s="16" t="str">
        <x:v>02-860-0541</x:v>
      </x:c>
      <x:c r="I21" s="17" t="str">
        <x:v>서울 구로구 디지털로 300 5층 (구로동, 지밸리비즈플라자)</x:v>
      </x:c>
      <x:c r="J21" s="17" t="n">
        <x:f>'전체 80곳'!P21</x:f>
        <x:v>100</x:v>
      </x:c>
      <x:c r="K21" s="17" t="str">
        <x:v>같은 건물의 지점별 관리직 미팅을 30분 간격으로 사전 확정 → 손글씨 엽서·리플렛·명함·스티커 전달</x:v>
      </x:c>
      <x:c r="L21" s="17" t="str">
        <x:v>https://www.idbins.com/FWCUSP1331.do</x:v>
      </x:c>
    </x:row>
    <x:row r="22" ht="38" customHeight="1">
      <x:c r="A22" s="16" t="n">
        <x:v>17</x:v>
      </x:c>
      <x:c r="B22" s="16" t="str">
        <x:v>8/3-8/7</x:v>
      </x:c>
      <x:c r="C22" s="16" t="str">
        <x:v>구로디지털</x:v>
      </x:c>
      <x:c r="D22" s="16" t="str">
        <x:v>구로 G밸리</x:v>
      </x:c>
      <x:c r="E22" s="16" t="str">
        <x:v>DB손해보험</x:v>
      </x:c>
      <x:c r="F22" s="16" t="str">
        <x:v>PA</x:v>
      </x:c>
      <x:c r="G22" s="16" t="str">
        <x:v>신길지점</x:v>
      </x:c>
      <x:c r="H22" s="16" t="str">
        <x:v>02-860-0572</x:v>
      </x:c>
      <x:c r="I22" s="17" t="str">
        <x:v>서울 구로구 디지털로 300 5층 (구로동, 지밸리비즈플라자)</x:v>
      </x:c>
      <x:c r="J22" s="17" t="n">
        <x:f>'전체 80곳'!P22</x:f>
        <x:v>100</x:v>
      </x:c>
      <x:c r="K22" s="17" t="str">
        <x:v>같은 건물의 지점별 관리직 미팅을 30분 간격으로 사전 확정 → 손글씨 엽서·리플렛·명함·스티커 전달</x:v>
      </x:c>
      <x:c r="L22" s="17" t="str">
        <x:v>https://www.idbins.com/FWCUSP1331.do</x:v>
      </x:c>
    </x:row>
    <x:row r="23" ht="38" customHeight="1">
      <x:c r="A23" s="16" t="n">
        <x:v>18</x:v>
      </x:c>
      <x:c r="B23" s="16" t="str">
        <x:v>8/3-8/7</x:v>
      </x:c>
      <x:c r="C23" s="16" t="str">
        <x:v>구로디지털</x:v>
      </x:c>
      <x:c r="D23" s="16" t="str">
        <x:v>구로 G밸리</x:v>
      </x:c>
      <x:c r="E23" s="16" t="str">
        <x:v>DB손해보험</x:v>
      </x:c>
      <x:c r="F23" s="16" t="str">
        <x:v>PA</x:v>
      </x:c>
      <x:c r="G23" s="16" t="str">
        <x:v>신대방지점</x:v>
      </x:c>
      <x:c r="H23" s="16" t="str">
        <x:v>02-860-0564</x:v>
      </x:c>
      <x:c r="I23" s="17" t="str">
        <x:v>서울 구로구 디지털로 306 206호 (구로동, 대륭포스트타워2차)</x:v>
      </x:c>
      <x:c r="J23" s="17" t="n">
        <x:f>'전체 80곳'!P23</x:f>
        <x:v>100</x:v>
      </x:c>
      <x:c r="K23" s="17" t="str">
        <x:v>같은 건물의 지점별 관리직 미팅을 30분 간격으로 사전 확정 → 손글씨 엽서·리플렛·명함·스티커 전달</x:v>
      </x:c>
      <x:c r="L23" s="17" t="str">
        <x:v>https://www.idbins.com/FWCUSP1331.do</x:v>
      </x:c>
    </x:row>
    <x:row r="24" ht="38" customHeight="1">
      <x:c r="A24" s="16" t="n">
        <x:v>19</x:v>
      </x:c>
      <x:c r="B24" s="16" t="str">
        <x:v>8/10-8/14</x:v>
      </x:c>
      <x:c r="C24" s="16" t="str">
        <x:v>영등포·당산</x:v>
      </x:c>
      <x:c r="D24" s="16" t="str">
        <x:v>교보생명 당산사옥</x:v>
      </x:c>
      <x:c r="E24" s="16" t="str">
        <x:v>교보생명</x:v>
      </x:c>
      <x:c r="F24" s="16" t="str">
        <x:v>FP</x:v>
      </x:c>
      <x:c r="G24" s="16" t="str">
        <x:v>영등포FP</x:v>
      </x:c>
      <x:c r="H24" s="16" t="str">
        <x:v>02-2672-5296</x:v>
      </x:c>
      <x:c r="I24" s="17" t="str">
        <x:v>서울 영등포구 영등포로 96 2층 영등포FP지점 (당산동2가, 교보생명빌딩)</x:v>
      </x:c>
      <x:c r="J24" s="17" t="n">
        <x:f>'전체 80곳'!P24</x:f>
        <x:v>100</x:v>
      </x:c>
      <x:c r="K24" s="17" t="str">
        <x:v>같은 건물의 지점별 관리직 미팅을 30분 간격으로 사전 확정 → 손글씨 엽서·리플렛·명함·스티커 전달</x:v>
      </x:c>
      <x:c r="L24" s="17" t="str">
        <x:v>https://www.kyobo.com/dgt/web/dtm/cs/ub/PCSUBNL7000</x:v>
      </x:c>
    </x:row>
    <x:row r="25" ht="38" customHeight="1">
      <x:c r="A25" s="16" t="n">
        <x:v>20</x:v>
      </x:c>
      <x:c r="B25" s="16" t="str">
        <x:v>8/10-8/14</x:v>
      </x:c>
      <x:c r="C25" s="16" t="str">
        <x:v>영등포·당산</x:v>
      </x:c>
      <x:c r="D25" s="16" t="str">
        <x:v>교보생명 당산사옥</x:v>
      </x:c>
      <x:c r="E25" s="16" t="str">
        <x:v>교보생명</x:v>
      </x:c>
      <x:c r="F25" s="16" t="str">
        <x:v>FP</x:v>
      </x:c>
      <x:c r="G25" s="16" t="str">
        <x:v>여의도FP</x:v>
      </x:c>
      <x:c r="H25" s="16" t="str">
        <x:v>02-2631-5809</x:v>
      </x:c>
      <x:c r="I25" s="17" t="str">
        <x:v>서울 영등포구 영등포로 96 3층 여의도FP지점 (당산동2가, 교보생명빌딩)</x:v>
      </x:c>
      <x:c r="J25" s="17" t="n">
        <x:f>'전체 80곳'!P25</x:f>
        <x:v>100</x:v>
      </x:c>
      <x:c r="K25" s="17" t="str">
        <x:v>같은 건물의 지점별 관리직 미팅을 30분 간격으로 사전 확정 → 손글씨 엽서·리플렛·명함·스티커 전달</x:v>
      </x:c>
      <x:c r="L25" s="17" t="str">
        <x:v>https://www.kyobo.com/dgt/web/dtm/cs/ub/PCSUBNL7000</x:v>
      </x:c>
    </x:row>
    <x:row r="26" ht="38" customHeight="1">
      <x:c r="A26" s="16" t="n">
        <x:v>21</x:v>
      </x:c>
      <x:c r="B26" s="16" t="str">
        <x:v>8/10-8/14</x:v>
      </x:c>
      <x:c r="C26" s="16" t="str">
        <x:v>영등포·당산</x:v>
      </x:c>
      <x:c r="D26" s="16" t="str">
        <x:v>교보생명 당산사옥</x:v>
      </x:c>
      <x:c r="E26" s="16" t="str">
        <x:v>교보생명</x:v>
      </x:c>
      <x:c r="F26" s="16" t="str">
        <x:v>FP</x:v>
      </x:c>
      <x:c r="G26" s="16" t="str">
        <x:v>당산FP</x:v>
      </x:c>
      <x:c r="H26" s="16" t="str">
        <x:v>02-2671-5022</x:v>
      </x:c>
      <x:c r="I26" s="17" t="str">
        <x:v>서울 영등포구 영등포로 96 4층 당산FP지점 (당산동2가, 교보생명빌딩)</x:v>
      </x:c>
      <x:c r="J26" s="17" t="n">
        <x:f>'전체 80곳'!P26</x:f>
        <x:v>100</x:v>
      </x:c>
      <x:c r="K26" s="17" t="str">
        <x:v>같은 건물의 지점별 관리직 미팅을 30분 간격으로 사전 확정 → 손글씨 엽서·리플렛·명함·스티커 전달</x:v>
      </x:c>
      <x:c r="L26" s="17" t="str">
        <x:v>https://www.kyobo.com/dgt/web/dtm/cs/ub/PCSUBNL7000</x:v>
      </x:c>
    </x:row>
    <x:row r="27" ht="38" customHeight="1">
      <x:c r="A27" s="16" t="n">
        <x:v>22</x:v>
      </x:c>
      <x:c r="B27" s="16" t="str">
        <x:v>8/10-8/14</x:v>
      </x:c>
      <x:c r="C27" s="16" t="str">
        <x:v>영등포·당산</x:v>
      </x:c>
      <x:c r="D27" s="16" t="str">
        <x:v>교보생명 당산사옥</x:v>
      </x:c>
      <x:c r="E27" s="16" t="str">
        <x:v>교보생명</x:v>
      </x:c>
      <x:c r="F27" s="16" t="str">
        <x:v>FP</x:v>
      </x:c>
      <x:c r="G27" s="16" t="str">
        <x:v>대림FP</x:v>
      </x:c>
      <x:c r="H27" s="16" t="str">
        <x:v>02-2634-5071</x:v>
      </x:c>
      <x:c r="I27" s="17" t="str">
        <x:v>서울 영등포구 영등포로 96 2층 대림FP지점 (당산동2가, 교보생명빌딩)</x:v>
      </x:c>
      <x:c r="J27" s="17" t="n">
        <x:f>'전체 80곳'!P27</x:f>
        <x:v>100</x:v>
      </x:c>
      <x:c r="K27" s="17" t="str">
        <x:v>같은 건물의 지점별 관리직 미팅을 30분 간격으로 사전 확정 → 손글씨 엽서·리플렛·명함·스티커 전달</x:v>
      </x:c>
      <x:c r="L27" s="17" t="str">
        <x:v>https://www.kyobo.com/dgt/web/dtm/cs/ub/PCSUBNL7000</x:v>
      </x:c>
    </x:row>
    <x:row r="28" ht="38" customHeight="1">
      <x:c r="A28" s="16" t="n">
        <x:v>23</x:v>
      </x:c>
      <x:c r="B28" s="16" t="str">
        <x:v>8/10-8/14</x:v>
      </x:c>
      <x:c r="C28" s="16" t="str">
        <x:v>영등포·당산</x:v>
      </x:c>
      <x:c r="D28" s="16" t="str">
        <x:v>교보생명 당산사옥</x:v>
      </x:c>
      <x:c r="E28" s="16" t="str">
        <x:v>교보생명</x:v>
      </x:c>
      <x:c r="F28" s="16" t="str">
        <x:v>FP</x:v>
      </x:c>
      <x:c r="G28" s="16" t="str">
        <x:v>양남FP</x:v>
      </x:c>
      <x:c r="H28" s="16" t="str">
        <x:v>02-2634-8621</x:v>
      </x:c>
      <x:c r="I28" s="17" t="str">
        <x:v>서울 영등포구 영등포로 96 4층 양남FP지점 (당산동2가, 교보생명빌딩)</x:v>
      </x:c>
      <x:c r="J28" s="17" t="n">
        <x:f>'전체 80곳'!P28</x:f>
        <x:v>100</x:v>
      </x:c>
      <x:c r="K28" s="17" t="str">
        <x:v>같은 건물의 지점별 관리직 미팅을 30분 간격으로 사전 확정 → 손글씨 엽서·리플렛·명함·스티커 전달</x:v>
      </x:c>
      <x:c r="L28" s="17" t="str">
        <x:v>https://www.kyobo.com/dgt/web/dtm/cs/ub/PCSUBNL7000</x:v>
      </x:c>
    </x:row>
    <x:row r="29" ht="38" customHeight="1">
      <x:c r="A29" s="16" t="n">
        <x:v>24</x:v>
      </x:c>
      <x:c r="B29" s="16" t="str">
        <x:v>8/10-8/14</x:v>
      </x:c>
      <x:c r="C29" s="16" t="str">
        <x:v>문래</x:v>
      </x:c>
      <x:c r="D29" s="16" t="str">
        <x:v>문래 세미콜론</x:v>
      </x:c>
      <x:c r="E29" s="16" t="str">
        <x:v>삼성화재</x:v>
      </x:c>
      <x:c r="F29" s="16" t="str">
        <x:v>RC</x:v>
      </x:c>
      <x:c r="G29" s="16" t="str">
        <x:v>양천지점</x:v>
      </x:c>
      <x:c r="H29" s="16" t="str">
        <x:v>02-2654-4807</x:v>
      </x:c>
      <x:c r="I29" s="17" t="str">
        <x:v>서울 영등포구 문래로28길 25 4층 양천지점 (문래동3가, 영시티N타워)</x:v>
      </x:c>
      <x:c r="J29" s="17" t="n">
        <x:f>'전체 80곳'!P29</x:f>
        <x:v>100</x:v>
      </x:c>
      <x:c r="K29" s="17" t="str">
        <x:v>같은 건물의 지점별 관리직 미팅을 30분 간격으로 사전 확정 → 손글씨 엽서·리플렛·명함·스티커 전달</x:v>
      </x:c>
      <x:c r="L29" s="17" t="str">
        <x:v>https://www.samsungfire.com/sfmi/ui/m/home/cust/MO_CS_SearchBranchList.html</x:v>
      </x:c>
    </x:row>
    <x:row r="30" ht="38" customHeight="1">
      <x:c r="A30" s="16" t="n">
        <x:v>25</x:v>
      </x:c>
      <x:c r="B30" s="16" t="str">
        <x:v>8/10-8/14</x:v>
      </x:c>
      <x:c r="C30" s="16" t="str">
        <x:v>문래</x:v>
      </x:c>
      <x:c r="D30" s="16" t="str">
        <x:v>문래 세미콜론</x:v>
      </x:c>
      <x:c r="E30" s="16" t="str">
        <x:v>삼성화재</x:v>
      </x:c>
      <x:c r="F30" s="16" t="str">
        <x:v>RC</x:v>
      </x:c>
      <x:c r="G30" s="16" t="str">
        <x:v>여의도지점</x:v>
      </x:c>
      <x:c r="H30" s="16" t="str">
        <x:v>02-857-2432</x:v>
      </x:c>
      <x:c r="I30" s="17" t="str">
        <x:v>서울 영등포구 문래로28길 25 4층 삼성화재 여의도지점 (문래동3가, 세미콜론문래)</x:v>
      </x:c>
      <x:c r="J30" s="17" t="n">
        <x:f>'전체 80곳'!P30</x:f>
        <x:v>100</x:v>
      </x:c>
      <x:c r="K30" s="17" t="str">
        <x:v>같은 건물의 지점별 관리직 미팅을 30분 간격으로 사전 확정 → 손글씨 엽서·리플렛·명함·스티커 전달</x:v>
      </x:c>
      <x:c r="L30" s="17" t="str">
        <x:v>https://www.samsungfire.com/sfmi/ui/m/home/cust/MO_CS_SearchBranchList.html</x:v>
      </x:c>
    </x:row>
    <x:row r="31" ht="38" customHeight="1">
      <x:c r="A31" s="16" t="n">
        <x:v>26</x:v>
      </x:c>
      <x:c r="B31" s="16" t="str">
        <x:v>8/10-8/14</x:v>
      </x:c>
      <x:c r="C31" s="16" t="str">
        <x:v>문래</x:v>
      </x:c>
      <x:c r="D31" s="16" t="str">
        <x:v>문래 세미콜론</x:v>
      </x:c>
      <x:c r="E31" s="16" t="str">
        <x:v>삼성화재</x:v>
      </x:c>
      <x:c r="F31" s="16" t="str">
        <x:v>RC</x:v>
      </x:c>
      <x:c r="G31" s="16" t="str">
        <x:v>문래삼성지점</x:v>
      </x:c>
      <x:c r="H31" s="16" t="str">
        <x:v>02-2636-2584</x:v>
      </x:c>
      <x:c r="I31" s="17" t="str">
        <x:v>서울 영등포구 문래로28길 25 5층 문래삼성지점 (문래동3가, 세미콜론문래N타워)</x:v>
      </x:c>
      <x:c r="J31" s="17" t="n">
        <x:f>'전체 80곳'!P31</x:f>
        <x:v>100</x:v>
      </x:c>
      <x:c r="K31" s="17" t="str">
        <x:v>같은 건물의 지점별 관리직 미팅을 30분 간격으로 사전 확정 → 손글씨 엽서·리플렛·명함·스티커 전달</x:v>
      </x:c>
      <x:c r="L31" s="17" t="str">
        <x:v>https://www.samsungfire.com/sfmi/ui/m/home/cust/MO_CS_SearchBranchList.html</x:v>
      </x:c>
    </x:row>
    <x:row r="32" ht="38" customHeight="1">
      <x:c r="A32" s="16" t="n">
        <x:v>27</x:v>
      </x:c>
      <x:c r="B32" s="16" t="str">
        <x:v>8/10-8/14</x:v>
      </x:c>
      <x:c r="C32" s="16" t="str">
        <x:v>문래</x:v>
      </x:c>
      <x:c r="D32" s="16" t="str">
        <x:v>문래 세미콜론</x:v>
      </x:c>
      <x:c r="E32" s="16" t="str">
        <x:v>삼성화재</x:v>
      </x:c>
      <x:c r="F32" s="16" t="str">
        <x:v>RC</x:v>
      </x:c>
      <x:c r="G32" s="16" t="str">
        <x:v>문래SF지점</x:v>
      </x:c>
      <x:c r="H32" s="16" t="str">
        <x:v>02-850-7950</x:v>
      </x:c>
      <x:c r="I32" s="17" t="str">
        <x:v>서울 영등포구 문래로28길 25 8층 영등포SF지점 (문래동3가, 영시티N타워)</x:v>
      </x:c>
      <x:c r="J32" s="17" t="n">
        <x:f>'전체 80곳'!P32</x:f>
        <x:v>100</x:v>
      </x:c>
      <x:c r="K32" s="17" t="str">
        <x:v>같은 건물의 지점별 관리직 미팅을 30분 간격으로 사전 확정 → 손글씨 엽서·리플렛·명함·스티커 전달</x:v>
      </x:c>
      <x:c r="L32" s="17" t="str">
        <x:v>https://www.samsungfire.com/sfmi/ui/m/home/cust/MO_CS_SearchBranchList.html</x:v>
      </x:c>
    </x:row>
    <x:row r="33" ht="38" customHeight="1">
      <x:c r="A33" s="16" t="n">
        <x:v>28</x:v>
      </x:c>
      <x:c r="B33" s="16" t="str">
        <x:v>8/17-8/21</x:v>
      </x:c>
      <x:c r="C33" s="16" t="str">
        <x:v>강서·발산</x:v>
      </x:c>
      <x:c r="D33" s="16" t="str">
        <x:v>강서 송화쇼핑센터</x:v>
      </x:c>
      <x:c r="E33" s="16" t="str">
        <x:v>교보생명</x:v>
      </x:c>
      <x:c r="F33" s="16" t="str">
        <x:v>FP</x:v>
      </x:c>
      <x:c r="G33" s="16" t="str">
        <x:v>강서FP</x:v>
      </x:c>
      <x:c r="H33" s="16" t="str">
        <x:v>02-2602-3741</x:v>
      </x:c>
      <x:c r="I33" s="17" t="str">
        <x:v>서울 강서구 강서로 267 7층 강서FP지점 (내발산동, 송화쇼핑센터)</x:v>
      </x:c>
      <x:c r="J33" s="17" t="n">
        <x:f>'전체 80곳'!P33</x:f>
        <x:v>97</x:v>
      </x:c>
      <x:c r="K33" s="17" t="str">
        <x:v>같은 건물의 지점별 관리직 미팅을 30분 간격으로 사전 확정 → 손글씨 엽서·리플렛·명함·스티커 전달</x:v>
      </x:c>
      <x:c r="L33" s="17" t="str">
        <x:v>https://www.kyobo.com/dgt/web/dtm/cs/ub/PCSUBNL7000</x:v>
      </x:c>
    </x:row>
    <x:row r="34" ht="38" customHeight="1">
      <x:c r="A34" s="16" t="n">
        <x:v>29</x:v>
      </x:c>
      <x:c r="B34" s="16" t="str">
        <x:v>8/17-8/21</x:v>
      </x:c>
      <x:c r="C34" s="16" t="str">
        <x:v>강서·발산</x:v>
      </x:c>
      <x:c r="D34" s="16" t="str">
        <x:v>강서 송화쇼핑센터</x:v>
      </x:c>
      <x:c r="E34" s="16" t="str">
        <x:v>교보생명</x:v>
      </x:c>
      <x:c r="F34" s="16" t="str">
        <x:v>FP</x:v>
      </x:c>
      <x:c r="G34" s="16" t="str">
        <x:v>마곡FP</x:v>
      </x:c>
      <x:c r="H34" s="16" t="str">
        <x:v>02-2696-6092</x:v>
      </x:c>
      <x:c r="I34" s="17" t="str">
        <x:v>서울 강서구 강서로 267 7층 마곡FP지점 (내발산동, 송화쇼핑센터)</x:v>
      </x:c>
      <x:c r="J34" s="17" t="n">
        <x:f>'전체 80곳'!P34</x:f>
        <x:v>97</x:v>
      </x:c>
      <x:c r="K34" s="17" t="str">
        <x:v>같은 건물의 지점별 관리직 미팅을 30분 간격으로 사전 확정 → 손글씨 엽서·리플렛·명함·스티커 전달</x:v>
      </x:c>
      <x:c r="L34" s="17" t="str">
        <x:v>https://www.kyobo.com/dgt/web/dtm/cs/ub/PCSUBNL7000</x:v>
      </x:c>
    </x:row>
    <x:row r="35" ht="38" customHeight="1">
      <x:c r="A35" s="16" t="n">
        <x:v>30</x:v>
      </x:c>
      <x:c r="B35" s="16" t="str">
        <x:v>8/17-8/21</x:v>
      </x:c>
      <x:c r="C35" s="16" t="str">
        <x:v>강서·발산</x:v>
      </x:c>
      <x:c r="D35" s="16" t="str">
        <x:v>강서 송화쇼핑센터</x:v>
      </x:c>
      <x:c r="E35" s="16" t="str">
        <x:v>교보생명</x:v>
      </x:c>
      <x:c r="F35" s="16" t="str">
        <x:v>FP</x:v>
      </x:c>
      <x:c r="G35" s="16" t="str">
        <x:v>양천FP</x:v>
      </x:c>
      <x:c r="H35" s="16" t="str">
        <x:v>02-2696-6141</x:v>
      </x:c>
      <x:c r="I35" s="17" t="str">
        <x:v>서울 강서구 강서로 267 6층 양천FP지점 (내발산동, 송화쇼핑센터)</x:v>
      </x:c>
      <x:c r="J35" s="17" t="n">
        <x:f>'전체 80곳'!P35</x:f>
        <x:v>97</x:v>
      </x:c>
      <x:c r="K35" s="17" t="str">
        <x:v>같은 건물의 지점별 관리직 미팅을 30분 간격으로 사전 확정 → 손글씨 엽서·리플렛·명함·스티커 전달</x:v>
      </x:c>
      <x:c r="L35" s="17" t="str">
        <x:v>https://www.kyobo.com/dgt/web/dtm/cs/ub/PCSUBNL7000</x:v>
      </x:c>
    </x:row>
    <x:row r="36" ht="38" customHeight="1">
      <x:c r="A36" s="16" t="n">
        <x:v>31</x:v>
      </x:c>
      <x:c r="B36" s="16" t="str">
        <x:v>8/17-8/21</x:v>
      </x:c>
      <x:c r="C36" s="16" t="str">
        <x:v>강서·발산</x:v>
      </x:c>
      <x:c r="D36" s="16" t="str">
        <x:v>강서 송화쇼핑센터</x:v>
      </x:c>
      <x:c r="E36" s="16" t="str">
        <x:v>교보생명</x:v>
      </x:c>
      <x:c r="F36" s="16" t="str">
        <x:v>FP</x:v>
      </x:c>
      <x:c r="G36" s="16" t="str">
        <x:v>방화FP</x:v>
      </x:c>
      <x:c r="H36" s="16" t="str">
        <x:v>02-2664-7489</x:v>
      </x:c>
      <x:c r="I36" s="17" t="str">
        <x:v>서울 강서구 강서로 267 8층 방화FP지점 (내발산동, 송화쇼핑센터)</x:v>
      </x:c>
      <x:c r="J36" s="17" t="n">
        <x:f>'전체 80곳'!P36</x:f>
        <x:v>97</x:v>
      </x:c>
      <x:c r="K36" s="17" t="str">
        <x:v>같은 건물의 지점별 관리직 미팅을 30분 간격으로 사전 확정 → 손글씨 엽서·리플렛·명함·스티커 전달</x:v>
      </x:c>
      <x:c r="L36" s="17" t="str">
        <x:v>https://www.kyobo.com/dgt/web/dtm/cs/ub/PCSUBNL7000</x:v>
      </x:c>
    </x:row>
    <x:row r="37" ht="38" customHeight="1">
      <x:c r="A37" s="16" t="n">
        <x:v>32</x:v>
      </x:c>
      <x:c r="B37" s="16" t="str">
        <x:v>8/17-8/21</x:v>
      </x:c>
      <x:c r="C37" s="16" t="str">
        <x:v>마곡</x:v>
      </x:c>
      <x:c r="D37" s="16" t="str">
        <x:v>마곡 NY타워</x:v>
      </x:c>
      <x:c r="E37" s="16" t="str">
        <x:v>DB손해보험</x:v>
      </x:c>
      <x:c r="F37" s="16" t="str">
        <x:v>PA</x:v>
      </x:c>
      <x:c r="G37" s="16" t="str">
        <x:v>마곡지점</x:v>
      </x:c>
      <x:c r="H37" s="16" t="str">
        <x:v>02-2650-3833</x:v>
      </x:c>
      <x:c r="I37" s="17" t="str">
        <x:v>서울 강서구 마곡동로3길 6 5층 (마곡동, NY타워)</x:v>
      </x:c>
      <x:c r="J37" s="17" t="n">
        <x:f>'전체 80곳'!P37</x:f>
        <x:v>91</x:v>
      </x:c>
      <x:c r="K37" s="17" t="str">
        <x:v>같은 건물의 지점별 관리직 미팅을 30분 간격으로 사전 확정 → 손글씨 엽서·리플렛·명함·스티커 전달</x:v>
      </x:c>
      <x:c r="L37" s="17" t="str">
        <x:v>https://www.idbins.com/FWCUSP1331.do</x:v>
      </x:c>
    </x:row>
    <x:row r="38" ht="38" customHeight="1">
      <x:c r="A38" s="16" t="n">
        <x:v>33</x:v>
      </x:c>
      <x:c r="B38" s="16" t="str">
        <x:v>8/17-8/21</x:v>
      </x:c>
      <x:c r="C38" s="16" t="str">
        <x:v>마곡</x:v>
      </x:c>
      <x:c r="D38" s="16" t="str">
        <x:v>마곡 NY타워</x:v>
      </x:c>
      <x:c r="E38" s="16" t="str">
        <x:v>DB손해보험</x:v>
      </x:c>
      <x:c r="F38" s="16" t="str">
        <x:v>PA</x:v>
      </x:c>
      <x:c r="G38" s="16" t="str">
        <x:v>양천지점</x:v>
      </x:c>
      <x:c r="H38" s="16" t="str">
        <x:v>02-2650-3830</x:v>
      </x:c>
      <x:c r="I38" s="17" t="str">
        <x:v>서울 강서구 마곡동로3길 6 11층 (마곡동, NY타워)</x:v>
      </x:c>
      <x:c r="J38" s="17" t="n">
        <x:f>'전체 80곳'!P38</x:f>
        <x:v>91</x:v>
      </x:c>
      <x:c r="K38" s="17" t="str">
        <x:v>같은 건물의 지점별 관리직 미팅을 30분 간격으로 사전 확정 → 손글씨 엽서·리플렛·명함·스티커 전달</x:v>
      </x:c>
      <x:c r="L38" s="17" t="str">
        <x:v>https://www.idbins.com/FWCUSP1331.do</x:v>
      </x:c>
    </x:row>
    <x:row r="39" ht="38" customHeight="1">
      <x:c r="A39" s="16" t="n">
        <x:v>34</x:v>
      </x:c>
      <x:c r="B39" s="16" t="str">
        <x:v>8/17-8/21</x:v>
      </x:c>
      <x:c r="C39" s="16" t="str">
        <x:v>마곡</x:v>
      </x:c>
      <x:c r="D39" s="16" t="str">
        <x:v>마곡 NY타워</x:v>
      </x:c>
      <x:c r="E39" s="16" t="str">
        <x:v>DB손해보험</x:v>
      </x:c>
      <x:c r="F39" s="16" t="str">
        <x:v>PA</x:v>
      </x:c>
      <x:c r="G39" s="16" t="str">
        <x:v>화곡지점</x:v>
      </x:c>
      <x:c r="H39" s="16" t="str">
        <x:v>02-2650-3880</x:v>
      </x:c>
      <x:c r="I39" s="17" t="str">
        <x:v>서울 강서구 마곡동로3길 6 6층 602호 (마곡동, NY타워)</x:v>
      </x:c>
      <x:c r="J39" s="17" t="n">
        <x:f>'전체 80곳'!P39</x:f>
        <x:v>91</x:v>
      </x:c>
      <x:c r="K39" s="17" t="str">
        <x:v>같은 건물의 지점별 관리직 미팅을 30분 간격으로 사전 확정 → 손글씨 엽서·리플렛·명함·스티커 전달</x:v>
      </x:c>
      <x:c r="L39" s="17" t="str">
        <x:v>https://www.idbins.com/FWCUSP1331.do</x:v>
      </x:c>
    </x:row>
    <x:row r="40" ht="38" customHeight="1">
      <x:c r="A40" s="16" t="n">
        <x:v>35</x:v>
      </x:c>
      <x:c r="B40" s="16" t="str">
        <x:v>8/17-8/21</x:v>
      </x:c>
      <x:c r="C40" s="16" t="str">
        <x:v>마곡</x:v>
      </x:c>
      <x:c r="D40" s="16" t="str">
        <x:v>마곡 마커스빌딩</x:v>
      </x:c>
      <x:c r="E40" s="16" t="str">
        <x:v>삼성화재</x:v>
      </x:c>
      <x:c r="F40" s="16" t="str">
        <x:v>RC</x:v>
      </x:c>
      <x:c r="G40" s="16" t="str">
        <x:v>강서혁신지점</x:v>
      </x:c>
      <x:c r="H40" s="16" t="str">
        <x:v>02-2601-6449</x:v>
      </x:c>
      <x:c r="I40" s="17" t="str">
        <x:v>서울 강서구 마곡동로 55 4층 강서지점 (마곡동, 마커스빌딩)</x:v>
      </x:c>
      <x:c r="J40" s="17" t="n">
        <x:f>'전체 80곳'!P40</x:f>
        <x:v>91</x:v>
      </x:c>
      <x:c r="K40" s="17" t="str">
        <x:v>같은 건물의 지점별 관리직 미팅을 30분 간격으로 사전 확정 → 손글씨 엽서·리플렛·명함·스티커 전달</x:v>
      </x:c>
      <x:c r="L40" s="17" t="str">
        <x:v>https://www.samsungfire.com/sfmi/ui/m/home/cust/MO_CS_SearchBranchList.html</x:v>
      </x:c>
    </x:row>
    <x:row r="41" ht="38" customHeight="1">
      <x:c r="A41" s="16" t="n">
        <x:v>36</x:v>
      </x:c>
      <x:c r="B41" s="16" t="str">
        <x:v>8/17-8/21</x:v>
      </x:c>
      <x:c r="C41" s="16" t="str">
        <x:v>마곡</x:v>
      </x:c>
      <x:c r="D41" s="16" t="str">
        <x:v>마곡 마커스빌딩</x:v>
      </x:c>
      <x:c r="E41" s="16" t="str">
        <x:v>삼성화재</x:v>
      </x:c>
      <x:c r="F41" s="16" t="str">
        <x:v>RC</x:v>
      </x:c>
      <x:c r="G41" s="16" t="str">
        <x:v>마곡혁신지점</x:v>
      </x:c>
      <x:c r="H41" s="16" t="str">
        <x:v>02-2604-5049</x:v>
      </x:c>
      <x:c r="I41" s="17" t="str">
        <x:v>서울 강서구 마곡동로 55 3층 (마곡동, 마커스빌딩)</x:v>
      </x:c>
      <x:c r="J41" s="17" t="n">
        <x:f>'전체 80곳'!P41</x:f>
        <x:v>91</x:v>
      </x:c>
      <x:c r="K41" s="17" t="str">
        <x:v>같은 건물의 지점별 관리직 미팅을 30분 간격으로 사전 확정 → 손글씨 엽서·리플렛·명함·스티커 전달</x:v>
      </x:c>
      <x:c r="L41" s="17" t="str">
        <x:v>https://www.samsungfire.com/sfmi/ui/m/home/cust/MO_CS_SearchBranchList.html</x:v>
      </x:c>
    </x:row>
    <x:row r="42" ht="38" customHeight="1">
      <x:c r="A42" s="16" t="n">
        <x:v>37</x:v>
      </x:c>
      <x:c r="B42" s="16" t="str">
        <x:v>8/24-8/28</x:v>
      </x:c>
      <x:c r="C42" s="16" t="str">
        <x:v>상암</x:v>
      </x:c>
      <x:c r="D42" s="16" t="str">
        <x:v>상암 성암로 179</x:v>
      </x:c>
      <x:c r="E42" s="16" t="str">
        <x:v>삼성화재</x:v>
      </x:c>
      <x:c r="F42" s="16" t="str">
        <x:v>RC</x:v>
      </x:c>
      <x:c r="G42" s="16" t="str">
        <x:v>마포지점</x:v>
      </x:c>
      <x:c r="H42" s="16" t="str">
        <x:v>02-317-5070</x:v>
      </x:c>
      <x:c r="I42" s="17" t="str">
        <x:v>서울 마포구 성암로 179 11층 마포지점 (상암동, 한샘상암)</x:v>
      </x:c>
      <x:c r="J42" s="17" t="n">
        <x:f>'전체 80곳'!P42</x:f>
        <x:v>91</x:v>
      </x:c>
      <x:c r="K42" s="17" t="str">
        <x:v>같은 건물의 지점별 관리직 미팅을 30분 간격으로 사전 확정 → 손글씨 엽서·리플렛·명함·스티커 전달</x:v>
      </x:c>
      <x:c r="L42" s="17" t="str">
        <x:v>https://www.samsungfire.com/sfmi/ui/m/home/cust/MO_CS_SearchBranchList.html</x:v>
      </x:c>
    </x:row>
    <x:row r="43" ht="38" customHeight="1">
      <x:c r="A43" s="16" t="n">
        <x:v>38</x:v>
      </x:c>
      <x:c r="B43" s="16" t="str">
        <x:v>8/24-8/28</x:v>
      </x:c>
      <x:c r="C43" s="16" t="str">
        <x:v>상암</x:v>
      </x:c>
      <x:c r="D43" s="16" t="str">
        <x:v>상암 성암로 179</x:v>
      </x:c>
      <x:c r="E43" s="16" t="str">
        <x:v>삼성화재</x:v>
      </x:c>
      <x:c r="F43" s="16" t="str">
        <x:v>RC</x:v>
      </x:c>
      <x:c r="G43" s="16" t="str">
        <x:v>상암DMC지점</x:v>
      </x:c>
      <x:c r="H43" s="16" t="str">
        <x:v>02-317-5131</x:v>
      </x:c>
      <x:c r="I43" s="17" t="str">
        <x:v>서울 마포구 성암로 179 11층 서대문지점 (상암동)</x:v>
      </x:c>
      <x:c r="J43" s="17" t="n">
        <x:f>'전체 80곳'!P43</x:f>
        <x:v>91</x:v>
      </x:c>
      <x:c r="K43" s="17" t="str">
        <x:v>같은 건물의 지점별 관리직 미팅을 30분 간격으로 사전 확정 → 손글씨 엽서·리플렛·명함·스티커 전달</x:v>
      </x:c>
      <x:c r="L43" s="17" t="str">
        <x:v>https://www.samsungfire.com/sfmi/ui/m/home/cust/MO_CS_SearchBranchList.html</x:v>
      </x:c>
    </x:row>
    <x:row r="44" ht="38" customHeight="1">
      <x:c r="A44" s="16" t="n">
        <x:v>39</x:v>
      </x:c>
      <x:c r="B44" s="16" t="str">
        <x:v>8/24-8/28</x:v>
      </x:c>
      <x:c r="C44" s="16" t="str">
        <x:v>합정</x:v>
      </x:c>
      <x:c r="D44" s="16" t="str">
        <x:v>합정오피스빌딩</x:v>
      </x:c>
      <x:c r="E44" s="16" t="str">
        <x:v>DB손해보험</x:v>
      </x:c>
      <x:c r="F44" s="16" t="str">
        <x:v>PA</x:v>
      </x:c>
      <x:c r="G44" s="16" t="str">
        <x:v>서부지점</x:v>
      </x:c>
      <x:c r="H44" s="16" t="str">
        <x:v>02-311-0114</x:v>
      </x:c>
      <x:c r="I44" s="17" t="str">
        <x:v>서울 마포구 양화로 19 10층 (합정동, 합정오피스빌딩)</x:v>
      </x:c>
      <x:c r="J44" s="17" t="n">
        <x:f>'전체 80곳'!P44</x:f>
        <x:v>91</x:v>
      </x:c>
      <x:c r="K44" s="17" t="str">
        <x:v>같은 건물의 지점별 관리직 미팅을 30분 간격으로 사전 확정 → 손글씨 엽서·리플렛·명함·스티커 전달</x:v>
      </x:c>
      <x:c r="L44" s="17" t="str">
        <x:v>https://www.idbins.com/FWCUSP1331.do</x:v>
      </x:c>
    </x:row>
    <x:row r="45" ht="38" customHeight="1">
      <x:c r="A45" s="16" t="n">
        <x:v>40</x:v>
      </x:c>
      <x:c r="B45" s="16" t="str">
        <x:v>8/24-8/28</x:v>
      </x:c>
      <x:c r="C45" s="16" t="str">
        <x:v>합정</x:v>
      </x:c>
      <x:c r="D45" s="16" t="str">
        <x:v>합정오피스빌딩</x:v>
      </x:c>
      <x:c r="E45" s="16" t="str">
        <x:v>DB손해보험</x:v>
      </x:c>
      <x:c r="F45" s="16" t="str">
        <x:v>PA</x:v>
      </x:c>
      <x:c r="G45" s="16" t="str">
        <x:v>서대문지점</x:v>
      </x:c>
      <x:c r="H45" s="16" t="str">
        <x:v>02-311-0117</x:v>
      </x:c>
      <x:c r="I45" s="17" t="str">
        <x:v>서울 마포구 양화로 19 10층 (합정동, 합정오피스빌딩)</x:v>
      </x:c>
      <x:c r="J45" s="17" t="n">
        <x:f>'전체 80곳'!P45</x:f>
        <x:v>91</x:v>
      </x:c>
      <x:c r="K45" s="17" t="str">
        <x:v>같은 건물의 지점별 관리직 미팅을 30분 간격으로 사전 확정 → 손글씨 엽서·리플렛·명함·스티커 전달</x:v>
      </x:c>
      <x:c r="L45" s="17" t="str">
        <x:v>https://www.idbins.com/FWCUSP1331.do</x:v>
      </x:c>
    </x:row>
  </x:sheetData>
  <x:mergeCells>
    <x:mergeCell ref="A1:L2"/>
    <x:mergeCell ref="A3:L3"/>
  </x:mergeCells>
  <x:conditionalFormatting sqref="J6:J4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527532ae5e94e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8" hidden="0" customWidth="1"/>
    <x:col min="3" max="3" width="10.220000267028809" hidden="0" customWidth="1"/>
    <x:col min="4" max="4" width="10" hidden="0" customWidth="1"/>
    <x:col min="5" max="5" width="16.670000076293945" hidden="0" customWidth="1"/>
    <x:col min="6" max="6" width="6.110000133514404" hidden="0" customWidth="1"/>
    <x:col min="7" max="7" width="10" hidden="0" customWidth="1"/>
    <x:col min="8" max="8" width="7.21999979019165" hidden="0" customWidth="1"/>
    <x:col min="9" max="9" width="13.890000343322754" hidden="0" customWidth="1"/>
    <x:col min="10" max="10" width="40" hidden="0" customWidth="1"/>
    <x:col min="11" max="11" width="11.670000076293945" hidden="0" customWidth="1"/>
    <x:col min="12" max="12" width="6.889999866485596" hidden="0" customWidth="1"/>
    <x:col min="13" max="13" width="6.889999866485596" hidden="0" customWidth="1"/>
    <x:col min="14" max="14" width="6.889999866485596" hidden="0" customWidth="1"/>
    <x:col min="15" max="15" width="6.889999866485596" hidden="0" customWidth="1"/>
    <x:col min="16" max="16" width="7.78000020980835" hidden="0" customWidth="1"/>
    <x:col min="17" max="17" width="33.33000183105469" hidden="0" customWidth="1"/>
    <x:col min="18" max="18" width="9.4399995803833" hidden="0" customWidth="1"/>
    <x:col min="19" max="19" width="9.4399995803833" hidden="0" customWidth="1"/>
    <x:col min="20" max="20" width="11.670000076293945" hidden="0" customWidth="1"/>
    <x:col min="21" max="21" width="9.779999732971191" hidden="0" customWidth="1"/>
    <x:col min="22" max="22" width="9.779999732971191" hidden="0" customWidth="1"/>
    <x:col min="23" max="23" width="7.78000020980835" hidden="0" customWidth="1"/>
    <x:col min="24" max="24" width="8.670000076293945" hidden="0" customWidth="1"/>
    <x:col min="25" max="25" width="24.440000534057617" hidden="0" customWidth="1"/>
    <x:col min="26" max="26" width="30" hidden="0" customWidth="1"/>
  </x:cols>
  <x:sheetData>
    <x:row r="1" ht="28" customHeight="1">
      <x:c r="A1" s="4" t="str">
        <x:v>인파 원수사 영업거점 80곳</x:v>
      </x:c>
      <x:c r="B1" s="4" t="str">
        <x:v>인파 원수사 영업거점 80곳</x:v>
      </x:c>
      <x:c r="C1" s="4" t="str">
        <x:v>인파 원수사 영업거점 80곳</x:v>
      </x:c>
      <x:c r="D1" s="4" t="str">
        <x:v>인파 원수사 영업거점 80곳</x:v>
      </x:c>
      <x:c r="E1" s="4" t="str">
        <x:v>인파 원수사 영업거점 80곳</x:v>
      </x:c>
      <x:c r="F1" s="4" t="str">
        <x:v>인파 원수사 영업거점 80곳</x:v>
      </x:c>
      <x:c r="G1" s="4" t="str">
        <x:v>인파 원수사 영업거점 80곳</x:v>
      </x:c>
      <x:c r="H1" s="4" t="str">
        <x:v>인파 원수사 영업거점 80곳</x:v>
      </x:c>
      <x:c r="I1" s="4" t="str">
        <x:v>인파 원수사 영업거점 80곳</x:v>
      </x:c>
      <x:c r="J1" s="4" t="str">
        <x:v>인파 원수사 영업거점 80곳</x:v>
      </x:c>
      <x:c r="K1" s="4" t="str">
        <x:v>인파 원수사 영업거점 80곳</x:v>
      </x:c>
      <x:c r="L1" s="4" t="str">
        <x:v>인파 원수사 영업거점 80곳</x:v>
      </x:c>
      <x:c r="M1" s="4" t="str">
        <x:v>인파 원수사 영업거점 80곳</x:v>
      </x:c>
      <x:c r="N1" s="4" t="str">
        <x:v>인파 원수사 영업거점 80곳</x:v>
      </x:c>
      <x:c r="O1" s="4" t="str">
        <x:v>인파 원수사 영업거점 80곳</x:v>
      </x:c>
      <x:c r="P1" s="4" t="str">
        <x:v>인파 원수사 영업거점 80곳</x:v>
      </x:c>
      <x:c r="Q1" s="4" t="str">
        <x:v>인파 원수사 영업거점 80곳</x:v>
      </x:c>
      <x:c r="R1" s="4" t="str">
        <x:v>인파 원수사 영업거점 80곳</x:v>
      </x:c>
      <x:c r="S1" s="4" t="str">
        <x:v>인파 원수사 영업거점 80곳</x:v>
      </x:c>
      <x:c r="T1" s="4" t="str">
        <x:v>인파 원수사 영업거점 80곳</x:v>
      </x:c>
      <x:c r="U1" s="4" t="str">
        <x:v>인파 원수사 영업거점 80곳</x:v>
      </x:c>
      <x:c r="V1" s="4" t="str">
        <x:v>인파 원수사 영업거점 80곳</x:v>
      </x:c>
      <x:c r="W1" s="4" t="str">
        <x:v>인파 원수사 영업거점 80곳</x:v>
      </x:c>
      <x:c r="X1" s="4" t="str">
        <x:v>인파 원수사 영업거점 80곳</x:v>
      </x:c>
      <x:c r="Y1" s="4" t="str">
        <x:v>인파 원수사 영업거점 80곳</x:v>
      </x:c>
      <x:c r="Z1" s="4" t="str">
        <x:v>인파 원수사 영업거점 80곳</x:v>
      </x:c>
    </x:row>
    <x:row r="2" ht="28" customHeight="1">
      <x:c r="A2" s="4" t="str">
        <x:v>인파 원수사 영업거점 80곳</x:v>
      </x:c>
      <x:c r="B2" s="4" t="str">
        <x:v>인파 원수사 영업거점 80곳</x:v>
      </x:c>
      <x:c r="C2" s="4" t="str">
        <x:v>인파 원수사 영업거점 80곳</x:v>
      </x:c>
      <x:c r="D2" s="4" t="str">
        <x:v>인파 원수사 영업거점 80곳</x:v>
      </x:c>
      <x:c r="E2" s="4" t="str">
        <x:v>인파 원수사 영업거점 80곳</x:v>
      </x:c>
      <x:c r="F2" s="4" t="str">
        <x:v>인파 원수사 영업거점 80곳</x:v>
      </x:c>
      <x:c r="G2" s="4" t="str">
        <x:v>인파 원수사 영업거점 80곳</x:v>
      </x:c>
      <x:c r="H2" s="4" t="str">
        <x:v>인파 원수사 영업거점 80곳</x:v>
      </x:c>
      <x:c r="I2" s="4" t="str">
        <x:v>인파 원수사 영업거점 80곳</x:v>
      </x:c>
      <x:c r="J2" s="4" t="str">
        <x:v>인파 원수사 영업거점 80곳</x:v>
      </x:c>
      <x:c r="K2" s="4" t="str">
        <x:v>인파 원수사 영업거점 80곳</x:v>
      </x:c>
      <x:c r="L2" s="4" t="str">
        <x:v>인파 원수사 영업거점 80곳</x:v>
      </x:c>
      <x:c r="M2" s="4" t="str">
        <x:v>인파 원수사 영업거점 80곳</x:v>
      </x:c>
      <x:c r="N2" s="4" t="str">
        <x:v>인파 원수사 영업거점 80곳</x:v>
      </x:c>
      <x:c r="O2" s="4" t="str">
        <x:v>인파 원수사 영업거점 80곳</x:v>
      </x:c>
      <x:c r="P2" s="4" t="str">
        <x:v>인파 원수사 영업거점 80곳</x:v>
      </x:c>
      <x:c r="Q2" s="4" t="str">
        <x:v>인파 원수사 영업거점 80곳</x:v>
      </x:c>
      <x:c r="R2" s="4" t="str">
        <x:v>인파 원수사 영업거점 80곳</x:v>
      </x:c>
      <x:c r="S2" s="4" t="str">
        <x:v>인파 원수사 영업거점 80곳</x:v>
      </x:c>
      <x:c r="T2" s="4" t="str">
        <x:v>인파 원수사 영업거점 80곳</x:v>
      </x:c>
      <x:c r="U2" s="4" t="str">
        <x:v>인파 원수사 영업거점 80곳</x:v>
      </x:c>
      <x:c r="V2" s="4" t="str">
        <x:v>인파 원수사 영업거점 80곳</x:v>
      </x:c>
      <x:c r="W2" s="4" t="str">
        <x:v>인파 원수사 영업거점 80곳</x:v>
      </x:c>
      <x:c r="X2" s="4" t="str">
        <x:v>인파 원수사 영업거점 80곳</x:v>
      </x:c>
      <x:c r="Y2" s="4" t="str">
        <x:v>인파 원수사 영업거점 80곳</x:v>
      </x:c>
      <x:c r="Z2" s="4" t="str">
        <x:v>인파 원수사 영업거점 80곳</x:v>
      </x:c>
    </x:row>
    <x:row r="3" ht="32" customHeight="1">
      <x:c r="A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B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C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D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E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F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G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H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I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J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K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L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M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N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O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P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Q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R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S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T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U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V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W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X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Y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  <x:c r="Z3" s="8" t="str">
        <x:v>구로 출발 기준, 공식 원수사 지점검색에서 2026-08-03 확인. 고객센터·보상센터·TM·GA센터는 제외하고 FP·RC·PA 현장 조직만 선정했습니다. 방문 전 지점장·팀장 일정 확인이 필요합니다.</x:v>
      </x:c>
    </x:row>
    <x:row r="5" ht="30" customHeight="1">
      <x:c r="A5" s="14" t="str">
        <x:v>순위</x:v>
      </x:c>
      <x:c r="B5" s="14" t="str">
        <x:v>단계</x:v>
      </x:c>
      <x:c r="C5" s="14" t="str">
        <x:v>실행주차</x:v>
      </x:c>
      <x:c r="D5" s="14" t="str">
        <x:v>권역</x:v>
      </x:c>
      <x:c r="E5" s="14" t="str">
        <x:v>건물·클러스터</x:v>
      </x:c>
      <x:c r="F5" s="14" t="str">
        <x:v>보험</x:v>
      </x:c>
      <x:c r="G5" s="14" t="str">
        <x:v>회사</x:v>
      </x:c>
      <x:c r="H5" s="14" t="str">
        <x:v>전속조직</x:v>
      </x:c>
      <x:c r="I5" s="14" t="str">
        <x:v>대상지점</x:v>
      </x:c>
      <x:c r="J5" s="14" t="str">
        <x:v>주소</x:v>
      </x:c>
      <x:c r="K5" s="14" t="str">
        <x:v>전화</x:v>
      </x:c>
      <x:c r="L5" s="14" t="str">
        <x:v>관리직 효과</x:v>
      </x:c>
      <x:c r="M5" s="14" t="str">
        <x:v>설계사 접점</x:v>
      </x:c>
      <x:c r="N5" s="14" t="str">
        <x:v>공식확인</x:v>
      </x:c>
      <x:c r="O5" s="14" t="str">
        <x:v>구로 접근</x:v>
      </x:c>
      <x:c r="P5" s="14" t="str">
        <x:v>효과점수</x:v>
      </x:c>
      <x:c r="Q5" s="14" t="str">
        <x:v>권장 접근</x:v>
      </x:c>
      <x:c r="R5" s="14" t="str">
        <x:v>연락상태</x:v>
      </x:c>
      <x:c r="S5" s="14" t="str">
        <x:v>미팅상태</x:v>
      </x:c>
      <x:c r="T5" s="14" t="str">
        <x:v>관리직·팀</x:v>
      </x:c>
      <x:c r="U5" s="14" t="str">
        <x:v>최근연락일</x:v>
      </x:c>
      <x:c r="V5" s="14" t="str">
        <x:v>미팅일</x:v>
      </x:c>
      <x:c r="W5" s="14" t="str">
        <x:v>사용시작자</x:v>
      </x:c>
      <x:c r="X5" s="14" t="str">
        <x:v>피드백사용자</x:v>
      </x:c>
      <x:c r="Y5" s="14" t="str">
        <x:v>메모</x:v>
      </x:c>
      <x:c r="Z5" s="14" t="str">
        <x:v>공식출처</x:v>
      </x:c>
    </x:row>
    <x:row r="6" ht="38" customHeight="1">
      <x:c r="A6" s="16" t="n">
        <x:v>1</x:v>
      </x:c>
      <x:c r="B6" s="16" t="str">
        <x:v>우선 40</x:v>
      </x:c>
      <x:c r="C6" s="16" t="str">
        <x:v>8/3-8/7</x:v>
      </x:c>
      <x:c r="D6" s="16" t="str">
        <x:v>구로·신도림</x:v>
      </x:c>
      <x:c r="E6" s="16" t="str">
        <x:v>신도림테크노마트</x:v>
      </x:c>
      <x:c r="F6" s="16" t="str">
        <x:v>생명</x:v>
      </x:c>
      <x:c r="G6" s="16" t="str">
        <x:v>교보생명</x:v>
      </x:c>
      <x:c r="H6" s="16" t="str">
        <x:v>FP</x:v>
      </x:c>
      <x:c r="I6" s="16" t="str">
        <x:v>남서울FP</x:v>
      </x:c>
      <x:c r="J6" s="17" t="str">
        <x:v>서울 구로구 새말로 97 26층 남서울FP지점 (구로동, 신도림테크노마트)</x:v>
      </x:c>
      <x:c r="K6" s="16" t="str">
        <x:v>02-851-2996</x:v>
      </x:c>
      <x:c r="L6" s="18" t="n">
        <x:v>5</x:v>
      </x:c>
      <x:c r="M6" s="18" t="n">
        <x:v>5</x:v>
      </x:c>
      <x:c r="N6" s="18" t="n">
        <x:v>5</x:v>
      </x:c>
      <x:c r="O6" s="18" t="n">
        <x:v>5</x:v>
      </x:c>
      <x:c r="P6" s="18" t="n">
        <x:f>ROUND((L6*30+M6*35+N6*20+O6*15)/5,0)</x:f>
        <x:v>100</x:v>
      </x:c>
      <x:c r="Q6" s="17" t="str">
        <x:v>같은 건물의 지점별 관리직 미팅을 30분 간격으로 사전 확정 → 손글씨 엽서·리플렛·명함·스티커 전달</x:v>
      </x:c>
      <x:c r="R6" s="19" t="str">
        <x:v>미연락</x:v>
      </x:c>
      <x:c r="S6" s="19" t="str">
        <x:v>미정</x:v>
      </x:c>
      <x:c r="T6" s="19" t="str"/>
      <x:c r="U6" s="21"/>
      <x:c r="V6" s="21"/>
      <x:c r="W6" s="22" t="n">
        <x:v>0</x:v>
      </x:c>
      <x:c r="X6" s="22" t="n">
        <x:v>0</x:v>
      </x:c>
      <x:c r="Y6" s="20" t="str"/>
      <x:c r="Z6" s="17" t="str">
        <x:v>https://www.kyobo.com/dgt/web/dtm/cs/ub/PCSUBNL7000</x:v>
      </x:c>
    </x:row>
    <x:row r="7" ht="38" customHeight="1">
      <x:c r="A7" s="16" t="n">
        <x:v>2</x:v>
      </x:c>
      <x:c r="B7" s="16" t="str">
        <x:v>우선 40</x:v>
      </x:c>
      <x:c r="C7" s="16" t="str">
        <x:v>8/3-8/7</x:v>
      </x:c>
      <x:c r="D7" s="16" t="str">
        <x:v>구로·신도림</x:v>
      </x:c>
      <x:c r="E7" s="16" t="str">
        <x:v>신도림테크노마트</x:v>
      </x:c>
      <x:c r="F7" s="16" t="str">
        <x:v>생명</x:v>
      </x:c>
      <x:c r="G7" s="16" t="str">
        <x:v>교보생명</x:v>
      </x:c>
      <x:c r="H7" s="16" t="str">
        <x:v>FP</x:v>
      </x:c>
      <x:c r="I7" s="16" t="str">
        <x:v>금천FP</x:v>
      </x:c>
      <x:c r="J7" s="17" t="str">
        <x:v>서울 구로구 새말로 97 27층 교보생명 금천FP지점 (구로동, 신도림테크노마트)</x:v>
      </x:c>
      <x:c r="K7" s="16" t="str">
        <x:v>02-852-1765</x:v>
      </x:c>
      <x:c r="L7" s="18" t="n">
        <x:v>5</x:v>
      </x:c>
      <x:c r="M7" s="18" t="n">
        <x:v>5</x:v>
      </x:c>
      <x:c r="N7" s="18" t="n">
        <x:v>5</x:v>
      </x:c>
      <x:c r="O7" s="18" t="n">
        <x:v>5</x:v>
      </x:c>
      <x:c r="P7" s="18" t="n">
        <x:f>ROUND((L7*30+M7*35+N7*20+O7*15)/5,0)</x:f>
        <x:v>100</x:v>
      </x:c>
      <x:c r="Q7" s="17" t="str">
        <x:v>같은 건물의 지점별 관리직 미팅을 30분 간격으로 사전 확정 → 손글씨 엽서·리플렛·명함·스티커 전달</x:v>
      </x:c>
      <x:c r="R7" s="19" t="str">
        <x:v>미연락</x:v>
      </x:c>
      <x:c r="S7" s="19" t="str">
        <x:v>미정</x:v>
      </x:c>
      <x:c r="T7" s="19" t="str"/>
      <x:c r="U7" s="21"/>
      <x:c r="V7" s="21"/>
      <x:c r="W7" s="22" t="n">
        <x:v>0</x:v>
      </x:c>
      <x:c r="X7" s="22" t="n">
        <x:v>0</x:v>
      </x:c>
      <x:c r="Y7" s="20" t="str"/>
      <x:c r="Z7" s="17" t="str">
        <x:v>https://www.kyobo.com/dgt/web/dtm/cs/ub/PCSUBNL7000</x:v>
      </x:c>
    </x:row>
    <x:row r="8" ht="38" customHeight="1">
      <x:c r="A8" s="16" t="n">
        <x:v>3</x:v>
      </x:c>
      <x:c r="B8" s="16" t="str">
        <x:v>우선 40</x:v>
      </x:c>
      <x:c r="C8" s="16" t="str">
        <x:v>8/3-8/7</x:v>
      </x:c>
      <x:c r="D8" s="16" t="str">
        <x:v>구로·신도림</x:v>
      </x:c>
      <x:c r="E8" s="16" t="str">
        <x:v>신도림테크노마트</x:v>
      </x:c>
      <x:c r="F8" s="16" t="str">
        <x:v>생명</x:v>
      </x:c>
      <x:c r="G8" s="16" t="str">
        <x:v>교보생명</x:v>
      </x:c>
      <x:c r="H8" s="16" t="str">
        <x:v>FP</x:v>
      </x:c>
      <x:c r="I8" s="16" t="str">
        <x:v>대방FP</x:v>
      </x:c>
      <x:c r="J8" s="17" t="str">
        <x:v>서울 구로구 새말로 97 26층 (구로동, 신도림테크노마트)</x:v>
      </x:c>
      <x:c r="K8" s="16" t="str">
        <x:v>02-862-5653</x:v>
      </x:c>
      <x:c r="L8" s="18" t="n">
        <x:v>5</x:v>
      </x:c>
      <x:c r="M8" s="18" t="n">
        <x:v>5</x:v>
      </x:c>
      <x:c r="N8" s="18" t="n">
        <x:v>5</x:v>
      </x:c>
      <x:c r="O8" s="18" t="n">
        <x:v>5</x:v>
      </x:c>
      <x:c r="P8" s="18" t="n">
        <x:f>ROUND((L8*30+M8*35+N8*20+O8*15)/5,0)</x:f>
        <x:v>100</x:v>
      </x:c>
      <x:c r="Q8" s="17" t="str">
        <x:v>같은 건물의 지점별 관리직 미팅을 30분 간격으로 사전 확정 → 손글씨 엽서·리플렛·명함·스티커 전달</x:v>
      </x:c>
      <x:c r="R8" s="19" t="str">
        <x:v>미연락</x:v>
      </x:c>
      <x:c r="S8" s="19" t="str">
        <x:v>미정</x:v>
      </x:c>
      <x:c r="T8" s="19" t="str"/>
      <x:c r="U8" s="21"/>
      <x:c r="V8" s="21"/>
      <x:c r="W8" s="22" t="n">
        <x:v>0</x:v>
      </x:c>
      <x:c r="X8" s="22" t="n">
        <x:v>0</x:v>
      </x:c>
      <x:c r="Y8" s="20" t="str"/>
      <x:c r="Z8" s="17" t="str">
        <x:v>https://www.kyobo.com/dgt/web/dtm/cs/ub/PCSUBNL7000</x:v>
      </x:c>
    </x:row>
    <x:row r="9" ht="38" customHeight="1">
      <x:c r="A9" s="16" t="n">
        <x:v>4</x:v>
      </x:c>
      <x:c r="B9" s="16" t="str">
        <x:v>우선 40</x:v>
      </x:c>
      <x:c r="C9" s="16" t="str">
        <x:v>8/3-8/7</x:v>
      </x:c>
      <x:c r="D9" s="16" t="str">
        <x:v>구로·신도림</x:v>
      </x:c>
      <x:c r="E9" s="16" t="str">
        <x:v>신도림테크노마트</x:v>
      </x:c>
      <x:c r="F9" s="16" t="str">
        <x:v>생명</x:v>
      </x:c>
      <x:c r="G9" s="16" t="str">
        <x:v>교보생명</x:v>
      </x:c>
      <x:c r="H9" s="16" t="str">
        <x:v>FP</x:v>
      </x:c>
      <x:c r="I9" s="16" t="str">
        <x:v>천일FP</x:v>
      </x:c>
      <x:c r="J9" s="17" t="str">
        <x:v>서울 구로구 새말로 97 27층 (구로동, 신도림테크노마트)</x:v>
      </x:c>
      <x:c r="K9" s="16" t="str">
        <x:v>02-837-9758</x:v>
      </x:c>
      <x:c r="L9" s="18" t="n">
        <x:v>5</x:v>
      </x:c>
      <x:c r="M9" s="18" t="n">
        <x:v>5</x:v>
      </x:c>
      <x:c r="N9" s="18" t="n">
        <x:v>5</x:v>
      </x:c>
      <x:c r="O9" s="18" t="n">
        <x:v>5</x:v>
      </x:c>
      <x:c r="P9" s="18" t="n">
        <x:f>ROUND((L9*30+M9*35+N9*20+O9*15)/5,0)</x:f>
        <x:v>100</x:v>
      </x:c>
      <x:c r="Q9" s="17" t="str">
        <x:v>같은 건물의 지점별 관리직 미팅을 30분 간격으로 사전 확정 → 손글씨 엽서·리플렛·명함·스티커 전달</x:v>
      </x:c>
      <x:c r="R9" s="19" t="str">
        <x:v>미연락</x:v>
      </x:c>
      <x:c r="S9" s="19" t="str">
        <x:v>미정</x:v>
      </x:c>
      <x:c r="T9" s="19" t="str"/>
      <x:c r="U9" s="21"/>
      <x:c r="V9" s="21"/>
      <x:c r="W9" s="22" t="n">
        <x:v>0</x:v>
      </x:c>
      <x:c r="X9" s="22" t="n">
        <x:v>0</x:v>
      </x:c>
      <x:c r="Y9" s="20" t="str"/>
      <x:c r="Z9" s="17" t="str">
        <x:v>https://www.kyobo.com/dgt/web/dtm/cs/ub/PCSUBNL7000</x:v>
      </x:c>
    </x:row>
    <x:row r="10" ht="38" customHeight="1">
      <x:c r="A10" s="16" t="n">
        <x:v>5</x:v>
      </x:c>
      <x:c r="B10" s="16" t="str">
        <x:v>우선 40</x:v>
      </x:c>
      <x:c r="C10" s="16" t="str">
        <x:v>8/3-8/7</x:v>
      </x:c>
      <x:c r="D10" s="16" t="str">
        <x:v>구로·신도림</x:v>
      </x:c>
      <x:c r="E10" s="16" t="str">
        <x:v>신도림테크노마트</x:v>
      </x:c>
      <x:c r="F10" s="16" t="str">
        <x:v>생명</x:v>
      </x:c>
      <x:c r="G10" s="16" t="str">
        <x:v>교보생명</x:v>
      </x:c>
      <x:c r="H10" s="16" t="str">
        <x:v>FP</x:v>
      </x:c>
      <x:c r="I10" s="16" t="str">
        <x:v>프라임FP</x:v>
      </x:c>
      <x:c r="J10" s="17" t="str">
        <x:v>서울 구로구 새말로 97 27층 (구로동, 신도림테크노마트)</x:v>
      </x:c>
      <x:c r="K10" s="16" t="str">
        <x:v>02-869-0351</x:v>
      </x:c>
      <x:c r="L10" s="18" t="n">
        <x:v>5</x:v>
      </x:c>
      <x:c r="M10" s="18" t="n">
        <x:v>5</x:v>
      </x:c>
      <x:c r="N10" s="18" t="n">
        <x:v>5</x:v>
      </x:c>
      <x:c r="O10" s="18" t="n">
        <x:v>5</x:v>
      </x:c>
      <x:c r="P10" s="18" t="n">
        <x:f>ROUND((L10*30+M10*35+N10*20+O10*15)/5,0)</x:f>
        <x:v>100</x:v>
      </x:c>
      <x:c r="Q10" s="17" t="str">
        <x:v>같은 건물의 지점별 관리직 미팅을 30분 간격으로 사전 확정 → 손글씨 엽서·리플렛·명함·스티커 전달</x:v>
      </x:c>
      <x:c r="R10" s="19" t="str">
        <x:v>미연락</x:v>
      </x:c>
      <x:c r="S10" s="19" t="str">
        <x:v>미정</x:v>
      </x:c>
      <x:c r="T10" s="19" t="str"/>
      <x:c r="U10" s="21"/>
      <x:c r="V10" s="21"/>
      <x:c r="W10" s="22" t="n">
        <x:v>0</x:v>
      </x:c>
      <x:c r="X10" s="22" t="n">
        <x:v>0</x:v>
      </x:c>
      <x:c r="Y10" s="20" t="str"/>
      <x:c r="Z10" s="17" t="str">
        <x:v>https://www.kyobo.com/dgt/web/dtm/cs/ub/PCSUBNL7000</x:v>
      </x:c>
    </x:row>
    <x:row r="11" ht="38" customHeight="1">
      <x:c r="A11" s="16" t="n">
        <x:v>6</x:v>
      </x:c>
      <x:c r="B11" s="16" t="str">
        <x:v>우선 40</x:v>
      </x:c>
      <x:c r="C11" s="16" t="str">
        <x:v>8/3-8/7</x:v>
      </x:c>
      <x:c r="D11" s="16" t="str">
        <x:v>구로·신도림</x:v>
      </x:c>
      <x:c r="E11" s="16" t="str">
        <x:v>신도림테크노마트</x:v>
      </x:c>
      <x:c r="F11" s="16" t="str">
        <x:v>생명</x:v>
      </x:c>
      <x:c r="G11" s="16" t="str">
        <x:v>교보생명</x:v>
      </x:c>
      <x:c r="H11" s="16" t="str">
        <x:v>FP</x:v>
      </x:c>
      <x:c r="I11" s="16" t="str">
        <x:v>한솔FP</x:v>
      </x:c>
      <x:c r="J11" s="17" t="str">
        <x:v>서울 구로구 새말로 97 27층 한솔FP지점 (구로동, 신도림테크노마트)</x:v>
      </x:c>
      <x:c r="K11" s="16" t="str">
        <x:v>02-859-7943</x:v>
      </x:c>
      <x:c r="L11" s="18" t="n">
        <x:v>5</x:v>
      </x:c>
      <x:c r="M11" s="18" t="n">
        <x:v>5</x:v>
      </x:c>
      <x:c r="N11" s="18" t="n">
        <x:v>5</x:v>
      </x:c>
      <x:c r="O11" s="18" t="n">
        <x:v>5</x:v>
      </x:c>
      <x:c r="P11" s="18" t="n">
        <x:f>ROUND((L11*30+M11*35+N11*20+O11*15)/5,0)</x:f>
        <x:v>100</x:v>
      </x:c>
      <x:c r="Q11" s="17" t="str">
        <x:v>같은 건물의 지점별 관리직 미팅을 30분 간격으로 사전 확정 → 손글씨 엽서·리플렛·명함·스티커 전달</x:v>
      </x:c>
      <x:c r="R11" s="19" t="str">
        <x:v>미연락</x:v>
      </x:c>
      <x:c r="S11" s="19" t="str">
        <x:v>미정</x:v>
      </x:c>
      <x:c r="T11" s="19" t="str"/>
      <x:c r="U11" s="21"/>
      <x:c r="V11" s="21"/>
      <x:c r="W11" s="22" t="n">
        <x:v>0</x:v>
      </x:c>
      <x:c r="X11" s="22" t="n">
        <x:v>0</x:v>
      </x:c>
      <x:c r="Y11" s="20" t="str"/>
      <x:c r="Z11" s="17" t="str">
        <x:v>https://www.kyobo.com/dgt/web/dtm/cs/ub/PCSUBNL7000</x:v>
      </x:c>
    </x:row>
    <x:row r="12" ht="38" customHeight="1">
      <x:c r="A12" s="16" t="n">
        <x:v>7</x:v>
      </x:c>
      <x:c r="B12" s="16" t="str">
        <x:v>우선 40</x:v>
      </x:c>
      <x:c r="C12" s="16" t="str">
        <x:v>8/3-8/7</x:v>
      </x:c>
      <x:c r="D12" s="16" t="str">
        <x:v>구로·신도림</x:v>
      </x:c>
      <x:c r="E12" s="16" t="str">
        <x:v>신도림 디큐브시티</x:v>
      </x:c>
      <x:c r="F12" s="16" t="str">
        <x:v>손해</x:v>
      </x:c>
      <x:c r="G12" s="16" t="str">
        <x:v>삼성화재</x:v>
      </x:c>
      <x:c r="H12" s="16" t="str">
        <x:v>RC</x:v>
      </x:c>
      <x:c r="I12" s="16" t="str">
        <x:v>신도림지점</x:v>
      </x:c>
      <x:c r="J12" s="17" t="str">
        <x:v>서울 구로구 경인로 662 29층 삼성화재 신도림지점 (신도림동, 디큐브시티)</x:v>
      </x:c>
      <x:c r="K12" s="16" t="str">
        <x:v>02-320-7115</x:v>
      </x:c>
      <x:c r="L12" s="18" t="n">
        <x:v>5</x:v>
      </x:c>
      <x:c r="M12" s="18" t="n">
        <x:v>5</x:v>
      </x:c>
      <x:c r="N12" s="18" t="n">
        <x:v>5</x:v>
      </x:c>
      <x:c r="O12" s="18" t="n">
        <x:v>5</x:v>
      </x:c>
      <x:c r="P12" s="18" t="n">
        <x:f>ROUND((L12*30+M12*35+N12*20+O12*15)/5,0)</x:f>
        <x:v>100</x:v>
      </x:c>
      <x:c r="Q12" s="17" t="str">
        <x:v>같은 건물의 지점별 관리직 미팅을 30분 간격으로 사전 확정 → 손글씨 엽서·리플렛·명함·스티커 전달</x:v>
      </x:c>
      <x:c r="R12" s="19" t="str">
        <x:v>미연락</x:v>
      </x:c>
      <x:c r="S12" s="19" t="str">
        <x:v>미정</x:v>
      </x:c>
      <x:c r="T12" s="19" t="str"/>
      <x:c r="U12" s="21"/>
      <x:c r="V12" s="21"/>
      <x:c r="W12" s="22" t="n">
        <x:v>0</x:v>
      </x:c>
      <x:c r="X12" s="22" t="n">
        <x:v>0</x:v>
      </x:c>
      <x:c r="Y12" s="20" t="str"/>
      <x:c r="Z12" s="17" t="str">
        <x:v>https://www.samsungfire.com/sfmi/ui/m/home/cust/MO_CS_SearchBranchList.html</x:v>
      </x:c>
    </x:row>
    <x:row r="13" ht="38" customHeight="1">
      <x:c r="A13" s="16" t="n">
        <x:v>8</x:v>
      </x:c>
      <x:c r="B13" s="16" t="str">
        <x:v>우선 40</x:v>
      </x:c>
      <x:c r="C13" s="16" t="str">
        <x:v>8/3-8/7</x:v>
      </x:c>
      <x:c r="D13" s="16" t="str">
        <x:v>구로·신도림</x:v>
      </x:c>
      <x:c r="E13" s="16" t="str">
        <x:v>신도림 디큐브시티</x:v>
      </x:c>
      <x:c r="F13" s="16" t="str">
        <x:v>손해</x:v>
      </x:c>
      <x:c r="G13" s="16" t="str">
        <x:v>삼성화재</x:v>
      </x:c>
      <x:c r="H13" s="16" t="str">
        <x:v>RC</x:v>
      </x:c>
      <x:c r="I13" s="16" t="str">
        <x:v>영등포지점</x:v>
      </x:c>
      <x:c r="J13" s="17" t="str">
        <x:v>서울 구로구 경인로 662 33층 영등포지점 (신도림동, 디큐브시티)</x:v>
      </x:c>
      <x:c r="K13" s="16" t="str">
        <x:v>02-320-7230</x:v>
      </x:c>
      <x:c r="L13" s="18" t="n">
        <x:v>5</x:v>
      </x:c>
      <x:c r="M13" s="18" t="n">
        <x:v>5</x:v>
      </x:c>
      <x:c r="N13" s="18" t="n">
        <x:v>5</x:v>
      </x:c>
      <x:c r="O13" s="18" t="n">
        <x:v>5</x:v>
      </x:c>
      <x:c r="P13" s="18" t="n">
        <x:f>ROUND((L13*30+M13*35+N13*20+O13*15)/5,0)</x:f>
        <x:v>100</x:v>
      </x:c>
      <x:c r="Q13" s="17" t="str">
        <x:v>같은 건물의 지점별 관리직 미팅을 30분 간격으로 사전 확정 → 손글씨 엽서·리플렛·명함·스티커 전달</x:v>
      </x:c>
      <x:c r="R13" s="19" t="str">
        <x:v>미연락</x:v>
      </x:c>
      <x:c r="S13" s="19" t="str">
        <x:v>미정</x:v>
      </x:c>
      <x:c r="T13" s="19" t="str"/>
      <x:c r="U13" s="21"/>
      <x:c r="V13" s="21"/>
      <x:c r="W13" s="22" t="n">
        <x:v>0</x:v>
      </x:c>
      <x:c r="X13" s="22" t="n">
        <x:v>0</x:v>
      </x:c>
      <x:c r="Y13" s="20" t="str"/>
      <x:c r="Z13" s="17" t="str">
        <x:v>https://www.samsungfire.com/sfmi/ui/m/home/cust/MO_CS_SearchBranchList.html</x:v>
      </x:c>
    </x:row>
    <x:row r="14" ht="38" customHeight="1">
      <x:c r="A14" s="16" t="n">
        <x:v>9</x:v>
      </x:c>
      <x:c r="B14" s="16" t="str">
        <x:v>우선 40</x:v>
      </x:c>
      <x:c r="C14" s="16" t="str">
        <x:v>8/3-8/7</x:v>
      </x:c>
      <x:c r="D14" s="16" t="str">
        <x:v>구로·신도림</x:v>
      </x:c>
      <x:c r="E14" s="16" t="str">
        <x:v>신도림 디큐브시티</x:v>
      </x:c>
      <x:c r="F14" s="16" t="str">
        <x:v>손해</x:v>
      </x:c>
      <x:c r="G14" s="16" t="str">
        <x:v>삼성화재</x:v>
      </x:c>
      <x:c r="H14" s="16" t="str">
        <x:v>RC</x:v>
      </x:c>
      <x:c r="I14" s="16" t="str">
        <x:v>신화지점</x:v>
      </x:c>
      <x:c r="J14" s="17" t="str">
        <x:v>서울 구로구 경인로 662 디큐브시티 오피스동 34층 삼성화재 신화지점 (신도림동)</x:v>
      </x:c>
      <x:c r="K14" s="16" t="str">
        <x:v>02-330-3540</x:v>
      </x:c>
      <x:c r="L14" s="18" t="n">
        <x:v>5</x:v>
      </x:c>
      <x:c r="M14" s="18" t="n">
        <x:v>5</x:v>
      </x:c>
      <x:c r="N14" s="18" t="n">
        <x:v>5</x:v>
      </x:c>
      <x:c r="O14" s="18" t="n">
        <x:v>5</x:v>
      </x:c>
      <x:c r="P14" s="18" t="n">
        <x:f>ROUND((L14*30+M14*35+N14*20+O14*15)/5,0)</x:f>
        <x:v>100</x:v>
      </x:c>
      <x:c r="Q14" s="17" t="str">
        <x:v>같은 건물의 지점별 관리직 미팅을 30분 간격으로 사전 확정 → 손글씨 엽서·리플렛·명함·스티커 전달</x:v>
      </x:c>
      <x:c r="R14" s="19" t="str">
        <x:v>미연락</x:v>
      </x:c>
      <x:c r="S14" s="19" t="str">
        <x:v>미정</x:v>
      </x:c>
      <x:c r="T14" s="19" t="str"/>
      <x:c r="U14" s="21"/>
      <x:c r="V14" s="21"/>
      <x:c r="W14" s="22" t="n">
        <x:v>0</x:v>
      </x:c>
      <x:c r="X14" s="22" t="n">
        <x:v>0</x:v>
      </x:c>
      <x:c r="Y14" s="20" t="str"/>
      <x:c r="Z14" s="17" t="str">
        <x:v>https://www.samsungfire.com/sfmi/ui/m/home/cust/MO_CS_SearchBranchList.html</x:v>
      </x:c>
    </x:row>
    <x:row r="15" ht="38" customHeight="1">
      <x:c r="A15" s="16" t="n">
        <x:v>10</x:v>
      </x:c>
      <x:c r="B15" s="16" t="str">
        <x:v>우선 40</x:v>
      </x:c>
      <x:c r="C15" s="16" t="str">
        <x:v>8/3-8/7</x:v>
      </x:c>
      <x:c r="D15" s="16" t="str">
        <x:v>구로·신도림</x:v>
      </x:c>
      <x:c r="E15" s="16" t="str">
        <x:v>신도림 디큐브시티</x:v>
      </x:c>
      <x:c r="F15" s="16" t="str">
        <x:v>손해</x:v>
      </x:c>
      <x:c r="G15" s="16" t="str">
        <x:v>삼성화재</x:v>
      </x:c>
      <x:c r="H15" s="16" t="str">
        <x:v>RC</x:v>
      </x:c>
      <x:c r="I15" s="16" t="str">
        <x:v>강서삼성지점</x:v>
      </x:c>
      <x:c r="J15" s="17" t="str">
        <x:v>서울 구로구 경인로 662 34층 강서삼성지점 (신도림동, 디큐브시티)</x:v>
      </x:c>
      <x:c r="K15" s="16" t="str">
        <x:v>02-850-6151</x:v>
      </x:c>
      <x:c r="L15" s="18" t="n">
        <x:v>5</x:v>
      </x:c>
      <x:c r="M15" s="18" t="n">
        <x:v>5</x:v>
      </x:c>
      <x:c r="N15" s="18" t="n">
        <x:v>5</x:v>
      </x:c>
      <x:c r="O15" s="18" t="n">
        <x:v>5</x:v>
      </x:c>
      <x:c r="P15" s="18" t="n">
        <x:f>ROUND((L15*30+M15*35+N15*20+O15*15)/5,0)</x:f>
        <x:v>100</x:v>
      </x:c>
      <x:c r="Q15" s="17" t="str">
        <x:v>같은 건물의 지점별 관리직 미팅을 30분 간격으로 사전 확정 → 손글씨 엽서·리플렛·명함·스티커 전달</x:v>
      </x:c>
      <x:c r="R15" s="19" t="str">
        <x:v>미연락</x:v>
      </x:c>
      <x:c r="S15" s="19" t="str">
        <x:v>미정</x:v>
      </x:c>
      <x:c r="T15" s="19" t="str"/>
      <x:c r="U15" s="21"/>
      <x:c r="V15" s="21"/>
      <x:c r="W15" s="22" t="n">
        <x:v>0</x:v>
      </x:c>
      <x:c r="X15" s="22" t="n">
        <x:v>0</x:v>
      </x:c>
      <x:c r="Y15" s="20" t="str"/>
      <x:c r="Z15" s="17" t="str">
        <x:v>https://www.samsungfire.com/sfmi/ui/m/home/cust/MO_CS_SearchBranchList.html</x:v>
      </x:c>
    </x:row>
    <x:row r="16" ht="38" customHeight="1">
      <x:c r="A16" s="16" t="n">
        <x:v>11</x:v>
      </x:c>
      <x:c r="B16" s="16" t="str">
        <x:v>우선 40</x:v>
      </x:c>
      <x:c r="C16" s="16" t="str">
        <x:v>8/3-8/7</x:v>
      </x:c>
      <x:c r="D16" s="16" t="str">
        <x:v>구로·신도림</x:v>
      </x:c>
      <x:c r="E16" s="16" t="str">
        <x:v>신도림 디큐브시티</x:v>
      </x:c>
      <x:c r="F16" s="16" t="str">
        <x:v>손해</x:v>
      </x:c>
      <x:c r="G16" s="16" t="str">
        <x:v>삼성화재</x:v>
      </x:c>
      <x:c r="H16" s="16" t="str">
        <x:v>RC</x:v>
      </x:c>
      <x:c r="I16" s="16" t="str">
        <x:v>노블레스서부지점</x:v>
      </x:c>
      <x:c r="J16" s="17" t="str">
        <x:v>서울 구로구 경인로 662 32층 노블레스서부지점 (신도림동, 디큐브시티)</x:v>
      </x:c>
      <x:c r="K16" s="16" t="str">
        <x:v>02-330-3511</x:v>
      </x:c>
      <x:c r="L16" s="18" t="n">
        <x:v>5</x:v>
      </x:c>
      <x:c r="M16" s="18" t="n">
        <x:v>5</x:v>
      </x:c>
      <x:c r="N16" s="18" t="n">
        <x:v>5</x:v>
      </x:c>
      <x:c r="O16" s="18" t="n">
        <x:v>5</x:v>
      </x:c>
      <x:c r="P16" s="18" t="n">
        <x:f>ROUND((L16*30+M16*35+N16*20+O16*15)/5,0)</x:f>
        <x:v>100</x:v>
      </x:c>
      <x:c r="Q16" s="17" t="str">
        <x:v>같은 건물의 지점별 관리직 미팅을 30분 간격으로 사전 확정 → 손글씨 엽서·리플렛·명함·스티커 전달</x:v>
      </x:c>
      <x:c r="R16" s="19" t="str">
        <x:v>미연락</x:v>
      </x:c>
      <x:c r="S16" s="19" t="str">
        <x:v>미정</x:v>
      </x:c>
      <x:c r="T16" s="19" t="str"/>
      <x:c r="U16" s="21"/>
      <x:c r="V16" s="21"/>
      <x:c r="W16" s="22" t="n">
        <x:v>0</x:v>
      </x:c>
      <x:c r="X16" s="22" t="n">
        <x:v>0</x:v>
      </x:c>
      <x:c r="Y16" s="20" t="str"/>
      <x:c r="Z16" s="17" t="str">
        <x:v>https://www.samsungfire.com/sfmi/ui/m/home/cust/MO_CS_SearchBranchList.html</x:v>
      </x:c>
    </x:row>
    <x:row r="17" ht="38" customHeight="1">
      <x:c r="A17" s="16" t="n">
        <x:v>12</x:v>
      </x:c>
      <x:c r="B17" s="16" t="str">
        <x:v>우선 40</x:v>
      </x:c>
      <x:c r="C17" s="16" t="str">
        <x:v>8/3-8/7</x:v>
      </x:c>
      <x:c r="D17" s="16" t="str">
        <x:v>구로·신도림</x:v>
      </x:c>
      <x:c r="E17" s="16" t="str">
        <x:v>신도림 디큐브시티</x:v>
      </x:c>
      <x:c r="F17" s="16" t="str">
        <x:v>손해</x:v>
      </x:c>
      <x:c r="G17" s="16" t="str">
        <x:v>삼성화재</x:v>
      </x:c>
      <x:c r="H17" s="16" t="str">
        <x:v>RC</x:v>
      </x:c>
      <x:c r="I17" s="16" t="str">
        <x:v>목동금융지점</x:v>
      </x:c>
      <x:c r="J17" s="17" t="str">
        <x:v>서울 구로구 경인로 662 35층 서부금융지점 (신도림동, 디큐브시티)</x:v>
      </x:c>
      <x:c r="K17" s="16" t="str">
        <x:v>02-320-7021</x:v>
      </x:c>
      <x:c r="L17" s="18" t="n">
        <x:v>5</x:v>
      </x:c>
      <x:c r="M17" s="18" t="n">
        <x:v>4</x:v>
      </x:c>
      <x:c r="N17" s="18" t="n">
        <x:v>5</x:v>
      </x:c>
      <x:c r="O17" s="18" t="n">
        <x:v>5</x:v>
      </x:c>
      <x:c r="P17" s="18" t="n">
        <x:f>ROUND((L17*30+M17*35+N17*20+O17*15)/5,0)</x:f>
        <x:v>93</x:v>
      </x:c>
      <x:c r="Q17" s="17" t="str">
        <x:v>같은 건물의 지점별 관리직 미팅을 30분 간격으로 사전 확정 → 손글씨 엽서·리플렛·명함·스티커 전달</x:v>
      </x:c>
      <x:c r="R17" s="19" t="str">
        <x:v>미연락</x:v>
      </x:c>
      <x:c r="S17" s="19" t="str">
        <x:v>미정</x:v>
      </x:c>
      <x:c r="T17" s="19" t="str"/>
      <x:c r="U17" s="21"/>
      <x:c r="V17" s="21"/>
      <x:c r="W17" s="22" t="n">
        <x:v>0</x:v>
      </x:c>
      <x:c r="X17" s="22" t="n">
        <x:v>0</x:v>
      </x:c>
      <x:c r="Y17" s="20" t="str"/>
      <x:c r="Z17" s="17" t="str">
        <x:v>https://www.samsungfire.com/sfmi/ui/m/home/cust/MO_CS_SearchBranchList.html</x:v>
      </x:c>
    </x:row>
    <x:row r="18" ht="38" customHeight="1">
      <x:c r="A18" s="16" t="n">
        <x:v>13</x:v>
      </x:c>
      <x:c r="B18" s="16" t="str">
        <x:v>우선 40</x:v>
      </x:c>
      <x:c r="C18" s="16" t="str">
        <x:v>8/3-8/7</x:v>
      </x:c>
      <x:c r="D18" s="16" t="str">
        <x:v>구로·신도림</x:v>
      </x:c>
      <x:c r="E18" s="16" t="str">
        <x:v>신도림 디큐브시티</x:v>
      </x:c>
      <x:c r="F18" s="16" t="str">
        <x:v>손해</x:v>
      </x:c>
      <x:c r="G18" s="16" t="str">
        <x:v>삼성화재</x:v>
      </x:c>
      <x:c r="H18" s="16" t="str">
        <x:v>RC</x:v>
      </x:c>
      <x:c r="I18" s="16" t="str">
        <x:v>강서금융지점</x:v>
      </x:c>
      <x:c r="J18" s="17" t="str">
        <x:v>서울 구로구 경인로 662 35층 당산지점 (신도림동, 디큐브시티)</x:v>
      </x:c>
      <x:c r="K18" s="16" t="str">
        <x:v>02-330-3737</x:v>
      </x:c>
      <x:c r="L18" s="18" t="n">
        <x:v>5</x:v>
      </x:c>
      <x:c r="M18" s="18" t="n">
        <x:v>4</x:v>
      </x:c>
      <x:c r="N18" s="18" t="n">
        <x:v>5</x:v>
      </x:c>
      <x:c r="O18" s="18" t="n">
        <x:v>5</x:v>
      </x:c>
      <x:c r="P18" s="18" t="n">
        <x:f>ROUND((L18*30+M18*35+N18*20+O18*15)/5,0)</x:f>
        <x:v>93</x:v>
      </x:c>
      <x:c r="Q18" s="17" t="str">
        <x:v>같은 건물의 지점별 관리직 미팅을 30분 간격으로 사전 확정 → 손글씨 엽서·리플렛·명함·스티커 전달</x:v>
      </x:c>
      <x:c r="R18" s="19" t="str">
        <x:v>미연락</x:v>
      </x:c>
      <x:c r="S18" s="19" t="str">
        <x:v>미정</x:v>
      </x:c>
      <x:c r="T18" s="19" t="str"/>
      <x:c r="U18" s="21"/>
      <x:c r="V18" s="21"/>
      <x:c r="W18" s="22" t="n">
        <x:v>0</x:v>
      </x:c>
      <x:c r="X18" s="22" t="n">
        <x:v>0</x:v>
      </x:c>
      <x:c r="Y18" s="20" t="str"/>
      <x:c r="Z18" s="17" t="str">
        <x:v>https://www.samsungfire.com/sfmi/ui/m/home/cust/MO_CS_SearchBranchList.html</x:v>
      </x:c>
    </x:row>
    <x:row r="19" ht="38" customHeight="1">
      <x:c r="A19" s="16" t="n">
        <x:v>14</x:v>
      </x:c>
      <x:c r="B19" s="16" t="str">
        <x:v>우선 40</x:v>
      </x:c>
      <x:c r="C19" s="16" t="str">
        <x:v>8/3-8/7</x:v>
      </x:c>
      <x:c r="D19" s="16" t="str">
        <x:v>구로디지털</x:v>
      </x:c>
      <x:c r="E19" s="16" t="str">
        <x:v>구로 G밸리</x:v>
      </x:c>
      <x:c r="F19" s="16" t="str">
        <x:v>손해</x:v>
      </x:c>
      <x:c r="G19" s="16" t="str">
        <x:v>DB손해보험</x:v>
      </x:c>
      <x:c r="H19" s="16" t="str">
        <x:v>PA</x:v>
      </x:c>
      <x:c r="I19" s="16" t="str">
        <x:v>개봉지점</x:v>
      </x:c>
      <x:c r="J19" s="17" t="str">
        <x:v>서울 구로구 디지털로 300 5층 (구로동, 지밸리비즈플라자)</x:v>
      </x:c>
      <x:c r="K19" s="16" t="str">
        <x:v>02-860-0553</x:v>
      </x:c>
      <x:c r="L19" s="18" t="n">
        <x:v>5</x:v>
      </x:c>
      <x:c r="M19" s="18" t="n">
        <x:v>5</x:v>
      </x:c>
      <x:c r="N19" s="18" t="n">
        <x:v>5</x:v>
      </x:c>
      <x:c r="O19" s="18" t="n">
        <x:v>5</x:v>
      </x:c>
      <x:c r="P19" s="18" t="n">
        <x:f>ROUND((L19*30+M19*35+N19*20+O19*15)/5,0)</x:f>
        <x:v>100</x:v>
      </x:c>
      <x:c r="Q19" s="17" t="str">
        <x:v>같은 건물의 지점별 관리직 미팅을 30분 간격으로 사전 확정 → 손글씨 엽서·리플렛·명함·스티커 전달</x:v>
      </x:c>
      <x:c r="R19" s="19" t="str">
        <x:v>미연락</x:v>
      </x:c>
      <x:c r="S19" s="19" t="str">
        <x:v>미정</x:v>
      </x:c>
      <x:c r="T19" s="19" t="str"/>
      <x:c r="U19" s="21"/>
      <x:c r="V19" s="21"/>
      <x:c r="W19" s="22" t="n">
        <x:v>0</x:v>
      </x:c>
      <x:c r="X19" s="22" t="n">
        <x:v>0</x:v>
      </x:c>
      <x:c r="Y19" s="20" t="str"/>
      <x:c r="Z19" s="17" t="str">
        <x:v>https://www.idbins.com/FWCUSP1331.do</x:v>
      </x:c>
    </x:row>
    <x:row r="20" ht="38" customHeight="1">
      <x:c r="A20" s="16" t="n">
        <x:v>15</x:v>
      </x:c>
      <x:c r="B20" s="16" t="str">
        <x:v>우선 40</x:v>
      </x:c>
      <x:c r="C20" s="16" t="str">
        <x:v>8/3-8/7</x:v>
      </x:c>
      <x:c r="D20" s="16" t="str">
        <x:v>구로디지털</x:v>
      </x:c>
      <x:c r="E20" s="16" t="str">
        <x:v>구로 G밸리</x:v>
      </x:c>
      <x:c r="F20" s="16" t="str">
        <x:v>손해</x:v>
      </x:c>
      <x:c r="G20" s="16" t="str">
        <x:v>DB손해보험</x:v>
      </x:c>
      <x:c r="H20" s="16" t="str">
        <x:v>PA</x:v>
      </x:c>
      <x:c r="I20" s="16" t="str">
        <x:v>금천지점</x:v>
      </x:c>
      <x:c r="J20" s="17" t="str">
        <x:v>서울 구로구 디지털로 300 5층 (구로동, 지밸리비즈플라자)</x:v>
      </x:c>
      <x:c r="K20" s="16" t="str">
        <x:v>02-860-0512</x:v>
      </x:c>
      <x:c r="L20" s="18" t="n">
        <x:v>5</x:v>
      </x:c>
      <x:c r="M20" s="18" t="n">
        <x:v>5</x:v>
      </x:c>
      <x:c r="N20" s="18" t="n">
        <x:v>5</x:v>
      </x:c>
      <x:c r="O20" s="18" t="n">
        <x:v>5</x:v>
      </x:c>
      <x:c r="P20" s="18" t="n">
        <x:f>ROUND((L20*30+M20*35+N20*20+O20*15)/5,0)</x:f>
        <x:v>100</x:v>
      </x:c>
      <x:c r="Q20" s="17" t="str">
        <x:v>같은 건물의 지점별 관리직 미팅을 30분 간격으로 사전 확정 → 손글씨 엽서·리플렛·명함·스티커 전달</x:v>
      </x:c>
      <x:c r="R20" s="19" t="str">
        <x:v>미연락</x:v>
      </x:c>
      <x:c r="S20" s="19" t="str">
        <x:v>미정</x:v>
      </x:c>
      <x:c r="T20" s="19" t="str"/>
      <x:c r="U20" s="21"/>
      <x:c r="V20" s="21"/>
      <x:c r="W20" s="22" t="n">
        <x:v>0</x:v>
      </x:c>
      <x:c r="X20" s="22" t="n">
        <x:v>0</x:v>
      </x:c>
      <x:c r="Y20" s="20" t="str"/>
      <x:c r="Z20" s="17" t="str">
        <x:v>https://www.idbins.com/FWCUSP1331.do</x:v>
      </x:c>
    </x:row>
    <x:row r="21" ht="38" customHeight="1">
      <x:c r="A21" s="16" t="n">
        <x:v>16</x:v>
      </x:c>
      <x:c r="B21" s="16" t="str">
        <x:v>우선 40</x:v>
      </x:c>
      <x:c r="C21" s="16" t="str">
        <x:v>8/3-8/7</x:v>
      </x:c>
      <x:c r="D21" s="16" t="str">
        <x:v>구로디지털</x:v>
      </x:c>
      <x:c r="E21" s="16" t="str">
        <x:v>구로 G밸리</x:v>
      </x:c>
      <x:c r="F21" s="16" t="str">
        <x:v>손해</x:v>
      </x:c>
      <x:c r="G21" s="16" t="str">
        <x:v>DB손해보험</x:v>
      </x:c>
      <x:c r="H21" s="16" t="str">
        <x:v>PA</x:v>
      </x:c>
      <x:c r="I21" s="16" t="str">
        <x:v>상도지점</x:v>
      </x:c>
      <x:c r="J21" s="17" t="str">
        <x:v>서울 구로구 디지털로 300 5층 (구로동, 지밸리비즈플라자)</x:v>
      </x:c>
      <x:c r="K21" s="16" t="str">
        <x:v>02-860-0541</x:v>
      </x:c>
      <x:c r="L21" s="18" t="n">
        <x:v>5</x:v>
      </x:c>
      <x:c r="M21" s="18" t="n">
        <x:v>5</x:v>
      </x:c>
      <x:c r="N21" s="18" t="n">
        <x:v>5</x:v>
      </x:c>
      <x:c r="O21" s="18" t="n">
        <x:v>5</x:v>
      </x:c>
      <x:c r="P21" s="18" t="n">
        <x:f>ROUND((L21*30+M21*35+N21*20+O21*15)/5,0)</x:f>
        <x:v>100</x:v>
      </x:c>
      <x:c r="Q21" s="17" t="str">
        <x:v>같은 건물의 지점별 관리직 미팅을 30분 간격으로 사전 확정 → 손글씨 엽서·리플렛·명함·스티커 전달</x:v>
      </x:c>
      <x:c r="R21" s="19" t="str">
        <x:v>미연락</x:v>
      </x:c>
      <x:c r="S21" s="19" t="str">
        <x:v>미정</x:v>
      </x:c>
      <x:c r="T21" s="19" t="str"/>
      <x:c r="U21" s="21"/>
      <x:c r="V21" s="21"/>
      <x:c r="W21" s="22" t="n">
        <x:v>0</x:v>
      </x:c>
      <x:c r="X21" s="22" t="n">
        <x:v>0</x:v>
      </x:c>
      <x:c r="Y21" s="20" t="str"/>
      <x:c r="Z21" s="17" t="str">
        <x:v>https://www.idbins.com/FWCUSP1331.do</x:v>
      </x:c>
    </x:row>
    <x:row r="22" ht="38" customHeight="1">
      <x:c r="A22" s="16" t="n">
        <x:v>17</x:v>
      </x:c>
      <x:c r="B22" s="16" t="str">
        <x:v>우선 40</x:v>
      </x:c>
      <x:c r="C22" s="16" t="str">
        <x:v>8/3-8/7</x:v>
      </x:c>
      <x:c r="D22" s="16" t="str">
        <x:v>구로디지털</x:v>
      </x:c>
      <x:c r="E22" s="16" t="str">
        <x:v>구로 G밸리</x:v>
      </x:c>
      <x:c r="F22" s="16" t="str">
        <x:v>손해</x:v>
      </x:c>
      <x:c r="G22" s="16" t="str">
        <x:v>DB손해보험</x:v>
      </x:c>
      <x:c r="H22" s="16" t="str">
        <x:v>PA</x:v>
      </x:c>
      <x:c r="I22" s="16" t="str">
        <x:v>신길지점</x:v>
      </x:c>
      <x:c r="J22" s="17" t="str">
        <x:v>서울 구로구 디지털로 300 5층 (구로동, 지밸리비즈플라자)</x:v>
      </x:c>
      <x:c r="K22" s="16" t="str">
        <x:v>02-860-0572</x:v>
      </x:c>
      <x:c r="L22" s="18" t="n">
        <x:v>5</x:v>
      </x:c>
      <x:c r="M22" s="18" t="n">
        <x:v>5</x:v>
      </x:c>
      <x:c r="N22" s="18" t="n">
        <x:v>5</x:v>
      </x:c>
      <x:c r="O22" s="18" t="n">
        <x:v>5</x:v>
      </x:c>
      <x:c r="P22" s="18" t="n">
        <x:f>ROUND((L22*30+M22*35+N22*20+O22*15)/5,0)</x:f>
        <x:v>100</x:v>
      </x:c>
      <x:c r="Q22" s="17" t="str">
        <x:v>같은 건물의 지점별 관리직 미팅을 30분 간격으로 사전 확정 → 손글씨 엽서·리플렛·명함·스티커 전달</x:v>
      </x:c>
      <x:c r="R22" s="19" t="str">
        <x:v>미연락</x:v>
      </x:c>
      <x:c r="S22" s="19" t="str">
        <x:v>미정</x:v>
      </x:c>
      <x:c r="T22" s="19" t="str"/>
      <x:c r="U22" s="21"/>
      <x:c r="V22" s="21"/>
      <x:c r="W22" s="22" t="n">
        <x:v>0</x:v>
      </x:c>
      <x:c r="X22" s="22" t="n">
        <x:v>0</x:v>
      </x:c>
      <x:c r="Y22" s="20" t="str"/>
      <x:c r="Z22" s="17" t="str">
        <x:v>https://www.idbins.com/FWCUSP1331.do</x:v>
      </x:c>
    </x:row>
    <x:row r="23" ht="38" customHeight="1">
      <x:c r="A23" s="16" t="n">
        <x:v>18</x:v>
      </x:c>
      <x:c r="B23" s="16" t="str">
        <x:v>우선 40</x:v>
      </x:c>
      <x:c r="C23" s="16" t="str">
        <x:v>8/3-8/7</x:v>
      </x:c>
      <x:c r="D23" s="16" t="str">
        <x:v>구로디지털</x:v>
      </x:c>
      <x:c r="E23" s="16" t="str">
        <x:v>구로 G밸리</x:v>
      </x:c>
      <x:c r="F23" s="16" t="str">
        <x:v>손해</x:v>
      </x:c>
      <x:c r="G23" s="16" t="str">
        <x:v>DB손해보험</x:v>
      </x:c>
      <x:c r="H23" s="16" t="str">
        <x:v>PA</x:v>
      </x:c>
      <x:c r="I23" s="16" t="str">
        <x:v>신대방지점</x:v>
      </x:c>
      <x:c r="J23" s="17" t="str">
        <x:v>서울 구로구 디지털로 306 206호 (구로동, 대륭포스트타워2차)</x:v>
      </x:c>
      <x:c r="K23" s="16" t="str">
        <x:v>02-860-0564</x:v>
      </x:c>
      <x:c r="L23" s="18" t="n">
        <x:v>5</x:v>
      </x:c>
      <x:c r="M23" s="18" t="n">
        <x:v>5</x:v>
      </x:c>
      <x:c r="N23" s="18" t="n">
        <x:v>5</x:v>
      </x:c>
      <x:c r="O23" s="18" t="n">
        <x:v>5</x:v>
      </x:c>
      <x:c r="P23" s="18" t="n">
        <x:f>ROUND((L23*30+M23*35+N23*20+O23*15)/5,0)</x:f>
        <x:v>100</x:v>
      </x:c>
      <x:c r="Q23" s="17" t="str">
        <x:v>같은 건물의 지점별 관리직 미팅을 30분 간격으로 사전 확정 → 손글씨 엽서·리플렛·명함·스티커 전달</x:v>
      </x:c>
      <x:c r="R23" s="19" t="str">
        <x:v>미연락</x:v>
      </x:c>
      <x:c r="S23" s="19" t="str">
        <x:v>미정</x:v>
      </x:c>
      <x:c r="T23" s="19" t="str"/>
      <x:c r="U23" s="21"/>
      <x:c r="V23" s="21"/>
      <x:c r="W23" s="22" t="n">
        <x:v>0</x:v>
      </x:c>
      <x:c r="X23" s="22" t="n">
        <x:v>0</x:v>
      </x:c>
      <x:c r="Y23" s="20" t="str"/>
      <x:c r="Z23" s="17" t="str">
        <x:v>https://www.idbins.com/FWCUSP1331.do</x:v>
      </x:c>
    </x:row>
    <x:row r="24" ht="38" customHeight="1">
      <x:c r="A24" s="16" t="n">
        <x:v>19</x:v>
      </x:c>
      <x:c r="B24" s="16" t="str">
        <x:v>우선 40</x:v>
      </x:c>
      <x:c r="C24" s="16" t="str">
        <x:v>8/10-8/14</x:v>
      </x:c>
      <x:c r="D24" s="16" t="str">
        <x:v>영등포·당산</x:v>
      </x:c>
      <x:c r="E24" s="16" t="str">
        <x:v>교보생명 당산사옥</x:v>
      </x:c>
      <x:c r="F24" s="16" t="str">
        <x:v>생명</x:v>
      </x:c>
      <x:c r="G24" s="16" t="str">
        <x:v>교보생명</x:v>
      </x:c>
      <x:c r="H24" s="16" t="str">
        <x:v>FP</x:v>
      </x:c>
      <x:c r="I24" s="16" t="str">
        <x:v>영등포FP</x:v>
      </x:c>
      <x:c r="J24" s="17" t="str">
        <x:v>서울 영등포구 영등포로 96 2층 영등포FP지점 (당산동2가, 교보생명빌딩)</x:v>
      </x:c>
      <x:c r="K24" s="16" t="str">
        <x:v>02-2672-5296</x:v>
      </x:c>
      <x:c r="L24" s="18" t="n">
        <x:v>5</x:v>
      </x:c>
      <x:c r="M24" s="18" t="n">
        <x:v>5</x:v>
      </x:c>
      <x:c r="N24" s="18" t="n">
        <x:v>5</x:v>
      </x:c>
      <x:c r="O24" s="18" t="n">
        <x:v>5</x:v>
      </x:c>
      <x:c r="P24" s="18" t="n">
        <x:f>ROUND((L24*30+M24*35+N24*20+O24*15)/5,0)</x:f>
        <x:v>100</x:v>
      </x:c>
      <x:c r="Q24" s="17" t="str">
        <x:v>같은 건물의 지점별 관리직 미팅을 30분 간격으로 사전 확정 → 손글씨 엽서·리플렛·명함·스티커 전달</x:v>
      </x:c>
      <x:c r="R24" s="19" t="str">
        <x:v>미연락</x:v>
      </x:c>
      <x:c r="S24" s="19" t="str">
        <x:v>미정</x:v>
      </x:c>
      <x:c r="T24" s="19" t="str"/>
      <x:c r="U24" s="21"/>
      <x:c r="V24" s="21"/>
      <x:c r="W24" s="22" t="n">
        <x:v>0</x:v>
      </x:c>
      <x:c r="X24" s="22" t="n">
        <x:v>0</x:v>
      </x:c>
      <x:c r="Y24" s="20" t="str"/>
      <x:c r="Z24" s="17" t="str">
        <x:v>https://www.kyobo.com/dgt/web/dtm/cs/ub/PCSUBNL7000</x:v>
      </x:c>
    </x:row>
    <x:row r="25" ht="38" customHeight="1">
      <x:c r="A25" s="16" t="n">
        <x:v>20</x:v>
      </x:c>
      <x:c r="B25" s="16" t="str">
        <x:v>우선 40</x:v>
      </x:c>
      <x:c r="C25" s="16" t="str">
        <x:v>8/10-8/14</x:v>
      </x:c>
      <x:c r="D25" s="16" t="str">
        <x:v>영등포·당산</x:v>
      </x:c>
      <x:c r="E25" s="16" t="str">
        <x:v>교보생명 당산사옥</x:v>
      </x:c>
      <x:c r="F25" s="16" t="str">
        <x:v>생명</x:v>
      </x:c>
      <x:c r="G25" s="16" t="str">
        <x:v>교보생명</x:v>
      </x:c>
      <x:c r="H25" s="16" t="str">
        <x:v>FP</x:v>
      </x:c>
      <x:c r="I25" s="16" t="str">
        <x:v>여의도FP</x:v>
      </x:c>
      <x:c r="J25" s="17" t="str">
        <x:v>서울 영등포구 영등포로 96 3층 여의도FP지점 (당산동2가, 교보생명빌딩)</x:v>
      </x:c>
      <x:c r="K25" s="16" t="str">
        <x:v>02-2631-5809</x:v>
      </x:c>
      <x:c r="L25" s="18" t="n">
        <x:v>5</x:v>
      </x:c>
      <x:c r="M25" s="18" t="n">
        <x:v>5</x:v>
      </x:c>
      <x:c r="N25" s="18" t="n">
        <x:v>5</x:v>
      </x:c>
      <x:c r="O25" s="18" t="n">
        <x:v>5</x:v>
      </x:c>
      <x:c r="P25" s="18" t="n">
        <x:f>ROUND((L25*30+M25*35+N25*20+O25*15)/5,0)</x:f>
        <x:v>100</x:v>
      </x:c>
      <x:c r="Q25" s="17" t="str">
        <x:v>같은 건물의 지점별 관리직 미팅을 30분 간격으로 사전 확정 → 손글씨 엽서·리플렛·명함·스티커 전달</x:v>
      </x:c>
      <x:c r="R25" s="19" t="str">
        <x:v>미연락</x:v>
      </x:c>
      <x:c r="S25" s="19" t="str">
        <x:v>미정</x:v>
      </x:c>
      <x:c r="T25" s="19" t="str"/>
      <x:c r="U25" s="21"/>
      <x:c r="V25" s="21"/>
      <x:c r="W25" s="22" t="n">
        <x:v>0</x:v>
      </x:c>
      <x:c r="X25" s="22" t="n">
        <x:v>0</x:v>
      </x:c>
      <x:c r="Y25" s="20" t="str"/>
      <x:c r="Z25" s="17" t="str">
        <x:v>https://www.kyobo.com/dgt/web/dtm/cs/ub/PCSUBNL7000</x:v>
      </x:c>
    </x:row>
    <x:row r="26" ht="38" customHeight="1">
      <x:c r="A26" s="16" t="n">
        <x:v>21</x:v>
      </x:c>
      <x:c r="B26" s="16" t="str">
        <x:v>우선 40</x:v>
      </x:c>
      <x:c r="C26" s="16" t="str">
        <x:v>8/10-8/14</x:v>
      </x:c>
      <x:c r="D26" s="16" t="str">
        <x:v>영등포·당산</x:v>
      </x:c>
      <x:c r="E26" s="16" t="str">
        <x:v>교보생명 당산사옥</x:v>
      </x:c>
      <x:c r="F26" s="16" t="str">
        <x:v>생명</x:v>
      </x:c>
      <x:c r="G26" s="16" t="str">
        <x:v>교보생명</x:v>
      </x:c>
      <x:c r="H26" s="16" t="str">
        <x:v>FP</x:v>
      </x:c>
      <x:c r="I26" s="16" t="str">
        <x:v>당산FP</x:v>
      </x:c>
      <x:c r="J26" s="17" t="str">
        <x:v>서울 영등포구 영등포로 96 4층 당산FP지점 (당산동2가, 교보생명빌딩)</x:v>
      </x:c>
      <x:c r="K26" s="16" t="str">
        <x:v>02-2671-5022</x:v>
      </x:c>
      <x:c r="L26" s="18" t="n">
        <x:v>5</x:v>
      </x:c>
      <x:c r="M26" s="18" t="n">
        <x:v>5</x:v>
      </x:c>
      <x:c r="N26" s="18" t="n">
        <x:v>5</x:v>
      </x:c>
      <x:c r="O26" s="18" t="n">
        <x:v>5</x:v>
      </x:c>
      <x:c r="P26" s="18" t="n">
        <x:f>ROUND((L26*30+M26*35+N26*20+O26*15)/5,0)</x:f>
        <x:v>100</x:v>
      </x:c>
      <x:c r="Q26" s="17" t="str">
        <x:v>같은 건물의 지점별 관리직 미팅을 30분 간격으로 사전 확정 → 손글씨 엽서·리플렛·명함·스티커 전달</x:v>
      </x:c>
      <x:c r="R26" s="19" t="str">
        <x:v>미연락</x:v>
      </x:c>
      <x:c r="S26" s="19" t="str">
        <x:v>미정</x:v>
      </x:c>
      <x:c r="T26" s="19" t="str"/>
      <x:c r="U26" s="21"/>
      <x:c r="V26" s="21"/>
      <x:c r="W26" s="22" t="n">
        <x:v>0</x:v>
      </x:c>
      <x:c r="X26" s="22" t="n">
        <x:v>0</x:v>
      </x:c>
      <x:c r="Y26" s="20" t="str"/>
      <x:c r="Z26" s="17" t="str">
        <x:v>https://www.kyobo.com/dgt/web/dtm/cs/ub/PCSUBNL7000</x:v>
      </x:c>
    </x:row>
    <x:row r="27" ht="38" customHeight="1">
      <x:c r="A27" s="16" t="n">
        <x:v>22</x:v>
      </x:c>
      <x:c r="B27" s="16" t="str">
        <x:v>우선 40</x:v>
      </x:c>
      <x:c r="C27" s="16" t="str">
        <x:v>8/10-8/14</x:v>
      </x:c>
      <x:c r="D27" s="16" t="str">
        <x:v>영등포·당산</x:v>
      </x:c>
      <x:c r="E27" s="16" t="str">
        <x:v>교보생명 당산사옥</x:v>
      </x:c>
      <x:c r="F27" s="16" t="str">
        <x:v>생명</x:v>
      </x:c>
      <x:c r="G27" s="16" t="str">
        <x:v>교보생명</x:v>
      </x:c>
      <x:c r="H27" s="16" t="str">
        <x:v>FP</x:v>
      </x:c>
      <x:c r="I27" s="16" t="str">
        <x:v>대림FP</x:v>
      </x:c>
      <x:c r="J27" s="17" t="str">
        <x:v>서울 영등포구 영등포로 96 2층 대림FP지점 (당산동2가, 교보생명빌딩)</x:v>
      </x:c>
      <x:c r="K27" s="16" t="str">
        <x:v>02-2634-5071</x:v>
      </x:c>
      <x:c r="L27" s="18" t="n">
        <x:v>5</x:v>
      </x:c>
      <x:c r="M27" s="18" t="n">
        <x:v>5</x:v>
      </x:c>
      <x:c r="N27" s="18" t="n">
        <x:v>5</x:v>
      </x:c>
      <x:c r="O27" s="18" t="n">
        <x:v>5</x:v>
      </x:c>
      <x:c r="P27" s="18" t="n">
        <x:f>ROUND((L27*30+M27*35+N27*20+O27*15)/5,0)</x:f>
        <x:v>100</x:v>
      </x:c>
      <x:c r="Q27" s="17" t="str">
        <x:v>같은 건물의 지점별 관리직 미팅을 30분 간격으로 사전 확정 → 손글씨 엽서·리플렛·명함·스티커 전달</x:v>
      </x:c>
      <x:c r="R27" s="19" t="str">
        <x:v>미연락</x:v>
      </x:c>
      <x:c r="S27" s="19" t="str">
        <x:v>미정</x:v>
      </x:c>
      <x:c r="T27" s="19" t="str"/>
      <x:c r="U27" s="21"/>
      <x:c r="V27" s="21"/>
      <x:c r="W27" s="22" t="n">
        <x:v>0</x:v>
      </x:c>
      <x:c r="X27" s="22" t="n">
        <x:v>0</x:v>
      </x:c>
      <x:c r="Y27" s="20" t="str"/>
      <x:c r="Z27" s="17" t="str">
        <x:v>https://www.kyobo.com/dgt/web/dtm/cs/ub/PCSUBNL7000</x:v>
      </x:c>
    </x:row>
    <x:row r="28" ht="38" customHeight="1">
      <x:c r="A28" s="16" t="n">
        <x:v>23</x:v>
      </x:c>
      <x:c r="B28" s="16" t="str">
        <x:v>우선 40</x:v>
      </x:c>
      <x:c r="C28" s="16" t="str">
        <x:v>8/10-8/14</x:v>
      </x:c>
      <x:c r="D28" s="16" t="str">
        <x:v>영등포·당산</x:v>
      </x:c>
      <x:c r="E28" s="16" t="str">
        <x:v>교보생명 당산사옥</x:v>
      </x:c>
      <x:c r="F28" s="16" t="str">
        <x:v>생명</x:v>
      </x:c>
      <x:c r="G28" s="16" t="str">
        <x:v>교보생명</x:v>
      </x:c>
      <x:c r="H28" s="16" t="str">
        <x:v>FP</x:v>
      </x:c>
      <x:c r="I28" s="16" t="str">
        <x:v>양남FP</x:v>
      </x:c>
      <x:c r="J28" s="17" t="str">
        <x:v>서울 영등포구 영등포로 96 4층 양남FP지점 (당산동2가, 교보생명빌딩)</x:v>
      </x:c>
      <x:c r="K28" s="16" t="str">
        <x:v>02-2634-8621</x:v>
      </x:c>
      <x:c r="L28" s="18" t="n">
        <x:v>5</x:v>
      </x:c>
      <x:c r="M28" s="18" t="n">
        <x:v>5</x:v>
      </x:c>
      <x:c r="N28" s="18" t="n">
        <x:v>5</x:v>
      </x:c>
      <x:c r="O28" s="18" t="n">
        <x:v>5</x:v>
      </x:c>
      <x:c r="P28" s="18" t="n">
        <x:f>ROUND((L28*30+M28*35+N28*20+O28*15)/5,0)</x:f>
        <x:v>100</x:v>
      </x:c>
      <x:c r="Q28" s="17" t="str">
        <x:v>같은 건물의 지점별 관리직 미팅을 30분 간격으로 사전 확정 → 손글씨 엽서·리플렛·명함·스티커 전달</x:v>
      </x:c>
      <x:c r="R28" s="19" t="str">
        <x:v>미연락</x:v>
      </x:c>
      <x:c r="S28" s="19" t="str">
        <x:v>미정</x:v>
      </x:c>
      <x:c r="T28" s="19" t="str"/>
      <x:c r="U28" s="21"/>
      <x:c r="V28" s="21"/>
      <x:c r="W28" s="22" t="n">
        <x:v>0</x:v>
      </x:c>
      <x:c r="X28" s="22" t="n">
        <x:v>0</x:v>
      </x:c>
      <x:c r="Y28" s="20" t="str"/>
      <x:c r="Z28" s="17" t="str">
        <x:v>https://www.kyobo.com/dgt/web/dtm/cs/ub/PCSUBNL7000</x:v>
      </x:c>
    </x:row>
    <x:row r="29" ht="38" customHeight="1">
      <x:c r="A29" s="16" t="n">
        <x:v>24</x:v>
      </x:c>
      <x:c r="B29" s="16" t="str">
        <x:v>우선 40</x:v>
      </x:c>
      <x:c r="C29" s="16" t="str">
        <x:v>8/10-8/14</x:v>
      </x:c>
      <x:c r="D29" s="16" t="str">
        <x:v>문래</x:v>
      </x:c>
      <x:c r="E29" s="16" t="str">
        <x:v>문래 세미콜론</x:v>
      </x:c>
      <x:c r="F29" s="16" t="str">
        <x:v>손해</x:v>
      </x:c>
      <x:c r="G29" s="16" t="str">
        <x:v>삼성화재</x:v>
      </x:c>
      <x:c r="H29" s="16" t="str">
        <x:v>RC</x:v>
      </x:c>
      <x:c r="I29" s="16" t="str">
        <x:v>양천지점</x:v>
      </x:c>
      <x:c r="J29" s="17" t="str">
        <x:v>서울 영등포구 문래로28길 25 4층 양천지점 (문래동3가, 영시티N타워)</x:v>
      </x:c>
      <x:c r="K29" s="16" t="str">
        <x:v>02-2654-4807</x:v>
      </x:c>
      <x:c r="L29" s="18" t="n">
        <x:v>5</x:v>
      </x:c>
      <x:c r="M29" s="18" t="n">
        <x:v>5</x:v>
      </x:c>
      <x:c r="N29" s="18" t="n">
        <x:v>5</x:v>
      </x:c>
      <x:c r="O29" s="18" t="n">
        <x:v>5</x:v>
      </x:c>
      <x:c r="P29" s="18" t="n">
        <x:f>ROUND((L29*30+M29*35+N29*20+O29*15)/5,0)</x:f>
        <x:v>100</x:v>
      </x:c>
      <x:c r="Q29" s="17" t="str">
        <x:v>같은 건물의 지점별 관리직 미팅을 30분 간격으로 사전 확정 → 손글씨 엽서·리플렛·명함·스티커 전달</x:v>
      </x:c>
      <x:c r="R29" s="19" t="str">
        <x:v>미연락</x:v>
      </x:c>
      <x:c r="S29" s="19" t="str">
        <x:v>미정</x:v>
      </x:c>
      <x:c r="T29" s="19" t="str"/>
      <x:c r="U29" s="21"/>
      <x:c r="V29" s="21"/>
      <x:c r="W29" s="22" t="n">
        <x:v>0</x:v>
      </x:c>
      <x:c r="X29" s="22" t="n">
        <x:v>0</x:v>
      </x:c>
      <x:c r="Y29" s="20" t="str"/>
      <x:c r="Z29" s="17" t="str">
        <x:v>https://www.samsungfire.com/sfmi/ui/m/home/cust/MO_CS_SearchBranchList.html</x:v>
      </x:c>
    </x:row>
    <x:row r="30" ht="38" customHeight="1">
      <x:c r="A30" s="16" t="n">
        <x:v>25</x:v>
      </x:c>
      <x:c r="B30" s="16" t="str">
        <x:v>우선 40</x:v>
      </x:c>
      <x:c r="C30" s="16" t="str">
        <x:v>8/10-8/14</x:v>
      </x:c>
      <x:c r="D30" s="16" t="str">
        <x:v>문래</x:v>
      </x:c>
      <x:c r="E30" s="16" t="str">
        <x:v>문래 세미콜론</x:v>
      </x:c>
      <x:c r="F30" s="16" t="str">
        <x:v>손해</x:v>
      </x:c>
      <x:c r="G30" s="16" t="str">
        <x:v>삼성화재</x:v>
      </x:c>
      <x:c r="H30" s="16" t="str">
        <x:v>RC</x:v>
      </x:c>
      <x:c r="I30" s="16" t="str">
        <x:v>여의도지점</x:v>
      </x:c>
      <x:c r="J30" s="17" t="str">
        <x:v>서울 영등포구 문래로28길 25 4층 삼성화재 여의도지점 (문래동3가, 세미콜론문래)</x:v>
      </x:c>
      <x:c r="K30" s="16" t="str">
        <x:v>02-857-2432</x:v>
      </x:c>
      <x:c r="L30" s="18" t="n">
        <x:v>5</x:v>
      </x:c>
      <x:c r="M30" s="18" t="n">
        <x:v>5</x:v>
      </x:c>
      <x:c r="N30" s="18" t="n">
        <x:v>5</x:v>
      </x:c>
      <x:c r="O30" s="18" t="n">
        <x:v>5</x:v>
      </x:c>
      <x:c r="P30" s="18" t="n">
        <x:f>ROUND((L30*30+M30*35+N30*20+O30*15)/5,0)</x:f>
        <x:v>100</x:v>
      </x:c>
      <x:c r="Q30" s="17" t="str">
        <x:v>같은 건물의 지점별 관리직 미팅을 30분 간격으로 사전 확정 → 손글씨 엽서·리플렛·명함·스티커 전달</x:v>
      </x:c>
      <x:c r="R30" s="19" t="str">
        <x:v>미연락</x:v>
      </x:c>
      <x:c r="S30" s="19" t="str">
        <x:v>미정</x:v>
      </x:c>
      <x:c r="T30" s="19" t="str"/>
      <x:c r="U30" s="21"/>
      <x:c r="V30" s="21"/>
      <x:c r="W30" s="22" t="n">
        <x:v>0</x:v>
      </x:c>
      <x:c r="X30" s="22" t="n">
        <x:v>0</x:v>
      </x:c>
      <x:c r="Y30" s="20" t="str"/>
      <x:c r="Z30" s="17" t="str">
        <x:v>https://www.samsungfire.com/sfmi/ui/m/home/cust/MO_CS_SearchBranchList.html</x:v>
      </x:c>
    </x:row>
    <x:row r="31" ht="38" customHeight="1">
      <x:c r="A31" s="16" t="n">
        <x:v>26</x:v>
      </x:c>
      <x:c r="B31" s="16" t="str">
        <x:v>우선 40</x:v>
      </x:c>
      <x:c r="C31" s="16" t="str">
        <x:v>8/10-8/14</x:v>
      </x:c>
      <x:c r="D31" s="16" t="str">
        <x:v>문래</x:v>
      </x:c>
      <x:c r="E31" s="16" t="str">
        <x:v>문래 세미콜론</x:v>
      </x:c>
      <x:c r="F31" s="16" t="str">
        <x:v>손해</x:v>
      </x:c>
      <x:c r="G31" s="16" t="str">
        <x:v>삼성화재</x:v>
      </x:c>
      <x:c r="H31" s="16" t="str">
        <x:v>RC</x:v>
      </x:c>
      <x:c r="I31" s="16" t="str">
        <x:v>문래삼성지점</x:v>
      </x:c>
      <x:c r="J31" s="17" t="str">
        <x:v>서울 영등포구 문래로28길 25 5층 문래삼성지점 (문래동3가, 세미콜론문래N타워)</x:v>
      </x:c>
      <x:c r="K31" s="16" t="str">
        <x:v>02-2636-2584</x:v>
      </x:c>
      <x:c r="L31" s="18" t="n">
        <x:v>5</x:v>
      </x:c>
      <x:c r="M31" s="18" t="n">
        <x:v>5</x:v>
      </x:c>
      <x:c r="N31" s="18" t="n">
        <x:v>5</x:v>
      </x:c>
      <x:c r="O31" s="18" t="n">
        <x:v>5</x:v>
      </x:c>
      <x:c r="P31" s="18" t="n">
        <x:f>ROUND((L31*30+M31*35+N31*20+O31*15)/5,0)</x:f>
        <x:v>100</x:v>
      </x:c>
      <x:c r="Q31" s="17" t="str">
        <x:v>같은 건물의 지점별 관리직 미팅을 30분 간격으로 사전 확정 → 손글씨 엽서·리플렛·명함·스티커 전달</x:v>
      </x:c>
      <x:c r="R31" s="19" t="str">
        <x:v>미연락</x:v>
      </x:c>
      <x:c r="S31" s="19" t="str">
        <x:v>미정</x:v>
      </x:c>
      <x:c r="T31" s="19" t="str"/>
      <x:c r="U31" s="21"/>
      <x:c r="V31" s="21"/>
      <x:c r="W31" s="22" t="n">
        <x:v>0</x:v>
      </x:c>
      <x:c r="X31" s="22" t="n">
        <x:v>0</x:v>
      </x:c>
      <x:c r="Y31" s="20" t="str"/>
      <x:c r="Z31" s="17" t="str">
        <x:v>https://www.samsungfire.com/sfmi/ui/m/home/cust/MO_CS_SearchBranchList.html</x:v>
      </x:c>
    </x:row>
    <x:row r="32" ht="38" customHeight="1">
      <x:c r="A32" s="16" t="n">
        <x:v>27</x:v>
      </x:c>
      <x:c r="B32" s="16" t="str">
        <x:v>우선 40</x:v>
      </x:c>
      <x:c r="C32" s="16" t="str">
        <x:v>8/10-8/14</x:v>
      </x:c>
      <x:c r="D32" s="16" t="str">
        <x:v>문래</x:v>
      </x:c>
      <x:c r="E32" s="16" t="str">
        <x:v>문래 세미콜론</x:v>
      </x:c>
      <x:c r="F32" s="16" t="str">
        <x:v>손해</x:v>
      </x:c>
      <x:c r="G32" s="16" t="str">
        <x:v>삼성화재</x:v>
      </x:c>
      <x:c r="H32" s="16" t="str">
        <x:v>RC</x:v>
      </x:c>
      <x:c r="I32" s="16" t="str">
        <x:v>문래SF지점</x:v>
      </x:c>
      <x:c r="J32" s="17" t="str">
        <x:v>서울 영등포구 문래로28길 25 8층 영등포SF지점 (문래동3가, 영시티N타워)</x:v>
      </x:c>
      <x:c r="K32" s="16" t="str">
        <x:v>02-850-7950</x:v>
      </x:c>
      <x:c r="L32" s="18" t="n">
        <x:v>5</x:v>
      </x:c>
      <x:c r="M32" s="18" t="n">
        <x:v>5</x:v>
      </x:c>
      <x:c r="N32" s="18" t="n">
        <x:v>5</x:v>
      </x:c>
      <x:c r="O32" s="18" t="n">
        <x:v>5</x:v>
      </x:c>
      <x:c r="P32" s="18" t="n">
        <x:f>ROUND((L32*30+M32*35+N32*20+O32*15)/5,0)</x:f>
        <x:v>100</x:v>
      </x:c>
      <x:c r="Q32" s="17" t="str">
        <x:v>같은 건물의 지점별 관리직 미팅을 30분 간격으로 사전 확정 → 손글씨 엽서·리플렛·명함·스티커 전달</x:v>
      </x:c>
      <x:c r="R32" s="19" t="str">
        <x:v>미연락</x:v>
      </x:c>
      <x:c r="S32" s="19" t="str">
        <x:v>미정</x:v>
      </x:c>
      <x:c r="T32" s="19" t="str"/>
      <x:c r="U32" s="21"/>
      <x:c r="V32" s="21"/>
      <x:c r="W32" s="22" t="n">
        <x:v>0</x:v>
      </x:c>
      <x:c r="X32" s="22" t="n">
        <x:v>0</x:v>
      </x:c>
      <x:c r="Y32" s="20" t="str"/>
      <x:c r="Z32" s="17" t="str">
        <x:v>https://www.samsungfire.com/sfmi/ui/m/home/cust/MO_CS_SearchBranchList.html</x:v>
      </x:c>
    </x:row>
    <x:row r="33" ht="38" customHeight="1">
      <x:c r="A33" s="16" t="n">
        <x:v>28</x:v>
      </x:c>
      <x:c r="B33" s="16" t="str">
        <x:v>우선 40</x:v>
      </x:c>
      <x:c r="C33" s="16" t="str">
        <x:v>8/17-8/21</x:v>
      </x:c>
      <x:c r="D33" s="16" t="str">
        <x:v>강서·발산</x:v>
      </x:c>
      <x:c r="E33" s="16" t="str">
        <x:v>강서 송화쇼핑센터</x:v>
      </x:c>
      <x:c r="F33" s="16" t="str">
        <x:v>생명</x:v>
      </x:c>
      <x:c r="G33" s="16" t="str">
        <x:v>교보생명</x:v>
      </x:c>
      <x:c r="H33" s="16" t="str">
        <x:v>FP</x:v>
      </x:c>
      <x:c r="I33" s="16" t="str">
        <x:v>강서FP</x:v>
      </x:c>
      <x:c r="J33" s="17" t="str">
        <x:v>서울 강서구 강서로 267 7층 강서FP지점 (내발산동, 송화쇼핑센터)</x:v>
      </x:c>
      <x:c r="K33" s="16" t="str">
        <x:v>02-2602-3741</x:v>
      </x:c>
      <x:c r="L33" s="18" t="n">
        <x:v>5</x:v>
      </x:c>
      <x:c r="M33" s="18" t="n">
        <x:v>5</x:v>
      </x:c>
      <x:c r="N33" s="18" t="n">
        <x:v>5</x:v>
      </x:c>
      <x:c r="O33" s="18" t="n">
        <x:v>4</x:v>
      </x:c>
      <x:c r="P33" s="18" t="n">
        <x:f>ROUND((L33*30+M33*35+N33*20+O33*15)/5,0)</x:f>
        <x:v>97</x:v>
      </x:c>
      <x:c r="Q33" s="17" t="str">
        <x:v>같은 건물의 지점별 관리직 미팅을 30분 간격으로 사전 확정 → 손글씨 엽서·리플렛·명함·스티커 전달</x:v>
      </x:c>
      <x:c r="R33" s="19" t="str">
        <x:v>미연락</x:v>
      </x:c>
      <x:c r="S33" s="19" t="str">
        <x:v>미정</x:v>
      </x:c>
      <x:c r="T33" s="19" t="str"/>
      <x:c r="U33" s="21"/>
      <x:c r="V33" s="21"/>
      <x:c r="W33" s="22" t="n">
        <x:v>0</x:v>
      </x:c>
      <x:c r="X33" s="22" t="n">
        <x:v>0</x:v>
      </x:c>
      <x:c r="Y33" s="20" t="str"/>
      <x:c r="Z33" s="17" t="str">
        <x:v>https://www.kyobo.com/dgt/web/dtm/cs/ub/PCSUBNL7000</x:v>
      </x:c>
    </x:row>
    <x:row r="34" ht="38" customHeight="1">
      <x:c r="A34" s="16" t="n">
        <x:v>29</x:v>
      </x:c>
      <x:c r="B34" s="16" t="str">
        <x:v>우선 40</x:v>
      </x:c>
      <x:c r="C34" s="16" t="str">
        <x:v>8/17-8/21</x:v>
      </x:c>
      <x:c r="D34" s="16" t="str">
        <x:v>강서·발산</x:v>
      </x:c>
      <x:c r="E34" s="16" t="str">
        <x:v>강서 송화쇼핑센터</x:v>
      </x:c>
      <x:c r="F34" s="16" t="str">
        <x:v>생명</x:v>
      </x:c>
      <x:c r="G34" s="16" t="str">
        <x:v>교보생명</x:v>
      </x:c>
      <x:c r="H34" s="16" t="str">
        <x:v>FP</x:v>
      </x:c>
      <x:c r="I34" s="16" t="str">
        <x:v>마곡FP</x:v>
      </x:c>
      <x:c r="J34" s="17" t="str">
        <x:v>서울 강서구 강서로 267 7층 마곡FP지점 (내발산동, 송화쇼핑센터)</x:v>
      </x:c>
      <x:c r="K34" s="16" t="str">
        <x:v>02-2696-6092</x:v>
      </x:c>
      <x:c r="L34" s="18" t="n">
        <x:v>5</x:v>
      </x:c>
      <x:c r="M34" s="18" t="n">
        <x:v>5</x:v>
      </x:c>
      <x:c r="N34" s="18" t="n">
        <x:v>5</x:v>
      </x:c>
      <x:c r="O34" s="18" t="n">
        <x:v>4</x:v>
      </x:c>
      <x:c r="P34" s="18" t="n">
        <x:f>ROUND((L34*30+M34*35+N34*20+O34*15)/5,0)</x:f>
        <x:v>97</x:v>
      </x:c>
      <x:c r="Q34" s="17" t="str">
        <x:v>같은 건물의 지점별 관리직 미팅을 30분 간격으로 사전 확정 → 손글씨 엽서·리플렛·명함·스티커 전달</x:v>
      </x:c>
      <x:c r="R34" s="19" t="str">
        <x:v>미연락</x:v>
      </x:c>
      <x:c r="S34" s="19" t="str">
        <x:v>미정</x:v>
      </x:c>
      <x:c r="T34" s="19" t="str"/>
      <x:c r="U34" s="21"/>
      <x:c r="V34" s="21"/>
      <x:c r="W34" s="22" t="n">
        <x:v>0</x:v>
      </x:c>
      <x:c r="X34" s="22" t="n">
        <x:v>0</x:v>
      </x:c>
      <x:c r="Y34" s="20" t="str"/>
      <x:c r="Z34" s="17" t="str">
        <x:v>https://www.kyobo.com/dgt/web/dtm/cs/ub/PCSUBNL7000</x:v>
      </x:c>
    </x:row>
    <x:row r="35" ht="38" customHeight="1">
      <x:c r="A35" s="16" t="n">
        <x:v>30</x:v>
      </x:c>
      <x:c r="B35" s="16" t="str">
        <x:v>우선 40</x:v>
      </x:c>
      <x:c r="C35" s="16" t="str">
        <x:v>8/17-8/21</x:v>
      </x:c>
      <x:c r="D35" s="16" t="str">
        <x:v>강서·발산</x:v>
      </x:c>
      <x:c r="E35" s="16" t="str">
        <x:v>강서 송화쇼핑센터</x:v>
      </x:c>
      <x:c r="F35" s="16" t="str">
        <x:v>생명</x:v>
      </x:c>
      <x:c r="G35" s="16" t="str">
        <x:v>교보생명</x:v>
      </x:c>
      <x:c r="H35" s="16" t="str">
        <x:v>FP</x:v>
      </x:c>
      <x:c r="I35" s="16" t="str">
        <x:v>양천FP</x:v>
      </x:c>
      <x:c r="J35" s="17" t="str">
        <x:v>서울 강서구 강서로 267 6층 양천FP지점 (내발산동, 송화쇼핑센터)</x:v>
      </x:c>
      <x:c r="K35" s="16" t="str">
        <x:v>02-2696-6141</x:v>
      </x:c>
      <x:c r="L35" s="18" t="n">
        <x:v>5</x:v>
      </x:c>
      <x:c r="M35" s="18" t="n">
        <x:v>5</x:v>
      </x:c>
      <x:c r="N35" s="18" t="n">
        <x:v>5</x:v>
      </x:c>
      <x:c r="O35" s="18" t="n">
        <x:v>4</x:v>
      </x:c>
      <x:c r="P35" s="18" t="n">
        <x:f>ROUND((L35*30+M35*35+N35*20+O35*15)/5,0)</x:f>
        <x:v>97</x:v>
      </x:c>
      <x:c r="Q35" s="17" t="str">
        <x:v>같은 건물의 지점별 관리직 미팅을 30분 간격으로 사전 확정 → 손글씨 엽서·리플렛·명함·스티커 전달</x:v>
      </x:c>
      <x:c r="R35" s="19" t="str">
        <x:v>미연락</x:v>
      </x:c>
      <x:c r="S35" s="19" t="str">
        <x:v>미정</x:v>
      </x:c>
      <x:c r="T35" s="19" t="str"/>
      <x:c r="U35" s="21"/>
      <x:c r="V35" s="21"/>
      <x:c r="W35" s="22" t="n">
        <x:v>0</x:v>
      </x:c>
      <x:c r="X35" s="22" t="n">
        <x:v>0</x:v>
      </x:c>
      <x:c r="Y35" s="20" t="str"/>
      <x:c r="Z35" s="17" t="str">
        <x:v>https://www.kyobo.com/dgt/web/dtm/cs/ub/PCSUBNL7000</x:v>
      </x:c>
    </x:row>
    <x:row r="36" ht="38" customHeight="1">
      <x:c r="A36" s="16" t="n">
        <x:v>31</x:v>
      </x:c>
      <x:c r="B36" s="16" t="str">
        <x:v>우선 40</x:v>
      </x:c>
      <x:c r="C36" s="16" t="str">
        <x:v>8/17-8/21</x:v>
      </x:c>
      <x:c r="D36" s="16" t="str">
        <x:v>강서·발산</x:v>
      </x:c>
      <x:c r="E36" s="16" t="str">
        <x:v>강서 송화쇼핑센터</x:v>
      </x:c>
      <x:c r="F36" s="16" t="str">
        <x:v>생명</x:v>
      </x:c>
      <x:c r="G36" s="16" t="str">
        <x:v>교보생명</x:v>
      </x:c>
      <x:c r="H36" s="16" t="str">
        <x:v>FP</x:v>
      </x:c>
      <x:c r="I36" s="16" t="str">
        <x:v>방화FP</x:v>
      </x:c>
      <x:c r="J36" s="17" t="str">
        <x:v>서울 강서구 강서로 267 8층 방화FP지점 (내발산동, 송화쇼핑센터)</x:v>
      </x:c>
      <x:c r="K36" s="16" t="str">
        <x:v>02-2664-7489</x:v>
      </x:c>
      <x:c r="L36" s="18" t="n">
        <x:v>5</x:v>
      </x:c>
      <x:c r="M36" s="18" t="n">
        <x:v>5</x:v>
      </x:c>
      <x:c r="N36" s="18" t="n">
        <x:v>5</x:v>
      </x:c>
      <x:c r="O36" s="18" t="n">
        <x:v>4</x:v>
      </x:c>
      <x:c r="P36" s="18" t="n">
        <x:f>ROUND((L36*30+M36*35+N36*20+O36*15)/5,0)</x:f>
        <x:v>97</x:v>
      </x:c>
      <x:c r="Q36" s="17" t="str">
        <x:v>같은 건물의 지점별 관리직 미팅을 30분 간격으로 사전 확정 → 손글씨 엽서·리플렛·명함·스티커 전달</x:v>
      </x:c>
      <x:c r="R36" s="19" t="str">
        <x:v>미연락</x:v>
      </x:c>
      <x:c r="S36" s="19" t="str">
        <x:v>미정</x:v>
      </x:c>
      <x:c r="T36" s="19" t="str"/>
      <x:c r="U36" s="21"/>
      <x:c r="V36" s="21"/>
      <x:c r="W36" s="22" t="n">
        <x:v>0</x:v>
      </x:c>
      <x:c r="X36" s="22" t="n">
        <x:v>0</x:v>
      </x:c>
      <x:c r="Y36" s="20" t="str"/>
      <x:c r="Z36" s="17" t="str">
        <x:v>https://www.kyobo.com/dgt/web/dtm/cs/ub/PCSUBNL7000</x:v>
      </x:c>
    </x:row>
    <x:row r="37" ht="38" customHeight="1">
      <x:c r="A37" s="16" t="n">
        <x:v>32</x:v>
      </x:c>
      <x:c r="B37" s="16" t="str">
        <x:v>우선 40</x:v>
      </x:c>
      <x:c r="C37" s="16" t="str">
        <x:v>8/17-8/21</x:v>
      </x:c>
      <x:c r="D37" s="16" t="str">
        <x:v>마곡</x:v>
      </x:c>
      <x:c r="E37" s="16" t="str">
        <x:v>마곡 NY타워</x:v>
      </x:c>
      <x:c r="F37" s="16" t="str">
        <x:v>손해</x:v>
      </x:c>
      <x:c r="G37" s="16" t="str">
        <x:v>DB손해보험</x:v>
      </x:c>
      <x:c r="H37" s="16" t="str">
        <x:v>PA</x:v>
      </x:c>
      <x:c r="I37" s="16" t="str">
        <x:v>마곡지점</x:v>
      </x:c>
      <x:c r="J37" s="17" t="str">
        <x:v>서울 강서구 마곡동로3길 6 5층 (마곡동, NY타워)</x:v>
      </x:c>
      <x:c r="K37" s="16" t="str">
        <x:v>02-2650-3833</x:v>
      </x:c>
      <x:c r="L37" s="18" t="n">
        <x:v>4</x:v>
      </x:c>
      <x:c r="M37" s="18" t="n">
        <x:v>5</x:v>
      </x:c>
      <x:c r="N37" s="18" t="n">
        <x:v>5</x:v>
      </x:c>
      <x:c r="O37" s="18" t="n">
        <x:v>4</x:v>
      </x:c>
      <x:c r="P37" s="18" t="n">
        <x:f>ROUND((L37*30+M37*35+N37*20+O37*15)/5,0)</x:f>
        <x:v>91</x:v>
      </x:c>
      <x:c r="Q37" s="17" t="str">
        <x:v>같은 건물의 지점별 관리직 미팅을 30분 간격으로 사전 확정 → 손글씨 엽서·리플렛·명함·스티커 전달</x:v>
      </x:c>
      <x:c r="R37" s="19" t="str">
        <x:v>미연락</x:v>
      </x:c>
      <x:c r="S37" s="19" t="str">
        <x:v>미정</x:v>
      </x:c>
      <x:c r="T37" s="19" t="str"/>
      <x:c r="U37" s="21"/>
      <x:c r="V37" s="21"/>
      <x:c r="W37" s="22" t="n">
        <x:v>0</x:v>
      </x:c>
      <x:c r="X37" s="22" t="n">
        <x:v>0</x:v>
      </x:c>
      <x:c r="Y37" s="20" t="str"/>
      <x:c r="Z37" s="17" t="str">
        <x:v>https://www.idbins.com/FWCUSP1331.do</x:v>
      </x:c>
    </x:row>
    <x:row r="38" ht="38" customHeight="1">
      <x:c r="A38" s="16" t="n">
        <x:v>33</x:v>
      </x:c>
      <x:c r="B38" s="16" t="str">
        <x:v>우선 40</x:v>
      </x:c>
      <x:c r="C38" s="16" t="str">
        <x:v>8/17-8/21</x:v>
      </x:c>
      <x:c r="D38" s="16" t="str">
        <x:v>마곡</x:v>
      </x:c>
      <x:c r="E38" s="16" t="str">
        <x:v>마곡 NY타워</x:v>
      </x:c>
      <x:c r="F38" s="16" t="str">
        <x:v>손해</x:v>
      </x:c>
      <x:c r="G38" s="16" t="str">
        <x:v>DB손해보험</x:v>
      </x:c>
      <x:c r="H38" s="16" t="str">
        <x:v>PA</x:v>
      </x:c>
      <x:c r="I38" s="16" t="str">
        <x:v>양천지점</x:v>
      </x:c>
      <x:c r="J38" s="17" t="str">
        <x:v>서울 강서구 마곡동로3길 6 11층 (마곡동, NY타워)</x:v>
      </x:c>
      <x:c r="K38" s="16" t="str">
        <x:v>02-2650-3830</x:v>
      </x:c>
      <x:c r="L38" s="18" t="n">
        <x:v>4</x:v>
      </x:c>
      <x:c r="M38" s="18" t="n">
        <x:v>5</x:v>
      </x:c>
      <x:c r="N38" s="18" t="n">
        <x:v>5</x:v>
      </x:c>
      <x:c r="O38" s="18" t="n">
        <x:v>4</x:v>
      </x:c>
      <x:c r="P38" s="18" t="n">
        <x:f>ROUND((L38*30+M38*35+N38*20+O38*15)/5,0)</x:f>
        <x:v>91</x:v>
      </x:c>
      <x:c r="Q38" s="17" t="str">
        <x:v>같은 건물의 지점별 관리직 미팅을 30분 간격으로 사전 확정 → 손글씨 엽서·리플렛·명함·스티커 전달</x:v>
      </x:c>
      <x:c r="R38" s="19" t="str">
        <x:v>미연락</x:v>
      </x:c>
      <x:c r="S38" s="19" t="str">
        <x:v>미정</x:v>
      </x:c>
      <x:c r="T38" s="19" t="str"/>
      <x:c r="U38" s="21"/>
      <x:c r="V38" s="21"/>
      <x:c r="W38" s="22" t="n">
        <x:v>0</x:v>
      </x:c>
      <x:c r="X38" s="22" t="n">
        <x:v>0</x:v>
      </x:c>
      <x:c r="Y38" s="20" t="str"/>
      <x:c r="Z38" s="17" t="str">
        <x:v>https://www.idbins.com/FWCUSP1331.do</x:v>
      </x:c>
    </x:row>
    <x:row r="39" ht="38" customHeight="1">
      <x:c r="A39" s="16" t="n">
        <x:v>34</x:v>
      </x:c>
      <x:c r="B39" s="16" t="str">
        <x:v>우선 40</x:v>
      </x:c>
      <x:c r="C39" s="16" t="str">
        <x:v>8/17-8/21</x:v>
      </x:c>
      <x:c r="D39" s="16" t="str">
        <x:v>마곡</x:v>
      </x:c>
      <x:c r="E39" s="16" t="str">
        <x:v>마곡 NY타워</x:v>
      </x:c>
      <x:c r="F39" s="16" t="str">
        <x:v>손해</x:v>
      </x:c>
      <x:c r="G39" s="16" t="str">
        <x:v>DB손해보험</x:v>
      </x:c>
      <x:c r="H39" s="16" t="str">
        <x:v>PA</x:v>
      </x:c>
      <x:c r="I39" s="16" t="str">
        <x:v>화곡지점</x:v>
      </x:c>
      <x:c r="J39" s="17" t="str">
        <x:v>서울 강서구 마곡동로3길 6 6층 602호 (마곡동, NY타워)</x:v>
      </x:c>
      <x:c r="K39" s="16" t="str">
        <x:v>02-2650-3880</x:v>
      </x:c>
      <x:c r="L39" s="18" t="n">
        <x:v>4</x:v>
      </x:c>
      <x:c r="M39" s="18" t="n">
        <x:v>5</x:v>
      </x:c>
      <x:c r="N39" s="18" t="n">
        <x:v>5</x:v>
      </x:c>
      <x:c r="O39" s="18" t="n">
        <x:v>4</x:v>
      </x:c>
      <x:c r="P39" s="18" t="n">
        <x:f>ROUND((L39*30+M39*35+N39*20+O39*15)/5,0)</x:f>
        <x:v>91</x:v>
      </x:c>
      <x:c r="Q39" s="17" t="str">
        <x:v>같은 건물의 지점별 관리직 미팅을 30분 간격으로 사전 확정 → 손글씨 엽서·리플렛·명함·스티커 전달</x:v>
      </x:c>
      <x:c r="R39" s="19" t="str">
        <x:v>미연락</x:v>
      </x:c>
      <x:c r="S39" s="19" t="str">
        <x:v>미정</x:v>
      </x:c>
      <x:c r="T39" s="19" t="str"/>
      <x:c r="U39" s="21"/>
      <x:c r="V39" s="21"/>
      <x:c r="W39" s="22" t="n">
        <x:v>0</x:v>
      </x:c>
      <x:c r="X39" s="22" t="n">
        <x:v>0</x:v>
      </x:c>
      <x:c r="Y39" s="20" t="str"/>
      <x:c r="Z39" s="17" t="str">
        <x:v>https://www.idbins.com/FWCUSP1331.do</x:v>
      </x:c>
    </x:row>
    <x:row r="40" ht="38" customHeight="1">
      <x:c r="A40" s="16" t="n">
        <x:v>35</x:v>
      </x:c>
      <x:c r="B40" s="16" t="str">
        <x:v>우선 40</x:v>
      </x:c>
      <x:c r="C40" s="16" t="str">
        <x:v>8/17-8/21</x:v>
      </x:c>
      <x:c r="D40" s="16" t="str">
        <x:v>마곡</x:v>
      </x:c>
      <x:c r="E40" s="16" t="str">
        <x:v>마곡 마커스빌딩</x:v>
      </x:c>
      <x:c r="F40" s="16" t="str">
        <x:v>손해</x:v>
      </x:c>
      <x:c r="G40" s="16" t="str">
        <x:v>삼성화재</x:v>
      </x:c>
      <x:c r="H40" s="16" t="str">
        <x:v>RC</x:v>
      </x:c>
      <x:c r="I40" s="16" t="str">
        <x:v>강서혁신지점</x:v>
      </x:c>
      <x:c r="J40" s="17" t="str">
        <x:v>서울 강서구 마곡동로 55 4층 강서지점 (마곡동, 마커스빌딩)</x:v>
      </x:c>
      <x:c r="K40" s="16" t="str">
        <x:v>02-2601-6449</x:v>
      </x:c>
      <x:c r="L40" s="18" t="n">
        <x:v>4</x:v>
      </x:c>
      <x:c r="M40" s="18" t="n">
        <x:v>5</x:v>
      </x:c>
      <x:c r="N40" s="18" t="n">
        <x:v>5</x:v>
      </x:c>
      <x:c r="O40" s="18" t="n">
        <x:v>4</x:v>
      </x:c>
      <x:c r="P40" s="18" t="n">
        <x:f>ROUND((L40*30+M40*35+N40*20+O40*15)/5,0)</x:f>
        <x:v>91</x:v>
      </x:c>
      <x:c r="Q40" s="17" t="str">
        <x:v>같은 건물의 지점별 관리직 미팅을 30분 간격으로 사전 확정 → 손글씨 엽서·리플렛·명함·스티커 전달</x:v>
      </x:c>
      <x:c r="R40" s="19" t="str">
        <x:v>미연락</x:v>
      </x:c>
      <x:c r="S40" s="19" t="str">
        <x:v>미정</x:v>
      </x:c>
      <x:c r="T40" s="19" t="str"/>
      <x:c r="U40" s="21"/>
      <x:c r="V40" s="21"/>
      <x:c r="W40" s="22" t="n">
        <x:v>0</x:v>
      </x:c>
      <x:c r="X40" s="22" t="n">
        <x:v>0</x:v>
      </x:c>
      <x:c r="Y40" s="20" t="str"/>
      <x:c r="Z40" s="17" t="str">
        <x:v>https://www.samsungfire.com/sfmi/ui/m/home/cust/MO_CS_SearchBranchList.html</x:v>
      </x:c>
    </x:row>
    <x:row r="41" ht="38" customHeight="1">
      <x:c r="A41" s="16" t="n">
        <x:v>36</x:v>
      </x:c>
      <x:c r="B41" s="16" t="str">
        <x:v>우선 40</x:v>
      </x:c>
      <x:c r="C41" s="16" t="str">
        <x:v>8/17-8/21</x:v>
      </x:c>
      <x:c r="D41" s="16" t="str">
        <x:v>마곡</x:v>
      </x:c>
      <x:c r="E41" s="16" t="str">
        <x:v>마곡 마커스빌딩</x:v>
      </x:c>
      <x:c r="F41" s="16" t="str">
        <x:v>손해</x:v>
      </x:c>
      <x:c r="G41" s="16" t="str">
        <x:v>삼성화재</x:v>
      </x:c>
      <x:c r="H41" s="16" t="str">
        <x:v>RC</x:v>
      </x:c>
      <x:c r="I41" s="16" t="str">
        <x:v>마곡혁신지점</x:v>
      </x:c>
      <x:c r="J41" s="17" t="str">
        <x:v>서울 강서구 마곡동로 55 3층 (마곡동, 마커스빌딩)</x:v>
      </x:c>
      <x:c r="K41" s="16" t="str">
        <x:v>02-2604-5049</x:v>
      </x:c>
      <x:c r="L41" s="18" t="n">
        <x:v>4</x:v>
      </x:c>
      <x:c r="M41" s="18" t="n">
        <x:v>5</x:v>
      </x:c>
      <x:c r="N41" s="18" t="n">
        <x:v>5</x:v>
      </x:c>
      <x:c r="O41" s="18" t="n">
        <x:v>4</x:v>
      </x:c>
      <x:c r="P41" s="18" t="n">
        <x:f>ROUND((L41*30+M41*35+N41*20+O41*15)/5,0)</x:f>
        <x:v>91</x:v>
      </x:c>
      <x:c r="Q41" s="17" t="str">
        <x:v>같은 건물의 지점별 관리직 미팅을 30분 간격으로 사전 확정 → 손글씨 엽서·리플렛·명함·스티커 전달</x:v>
      </x:c>
      <x:c r="R41" s="19" t="str">
        <x:v>미연락</x:v>
      </x:c>
      <x:c r="S41" s="19" t="str">
        <x:v>미정</x:v>
      </x:c>
      <x:c r="T41" s="19" t="str"/>
      <x:c r="U41" s="21"/>
      <x:c r="V41" s="21"/>
      <x:c r="W41" s="22" t="n">
        <x:v>0</x:v>
      </x:c>
      <x:c r="X41" s="22" t="n">
        <x:v>0</x:v>
      </x:c>
      <x:c r="Y41" s="20" t="str"/>
      <x:c r="Z41" s="17" t="str">
        <x:v>https://www.samsungfire.com/sfmi/ui/m/home/cust/MO_CS_SearchBranchList.html</x:v>
      </x:c>
    </x:row>
    <x:row r="42" ht="38" customHeight="1">
      <x:c r="A42" s="16" t="n">
        <x:v>37</x:v>
      </x:c>
      <x:c r="B42" s="16" t="str">
        <x:v>우선 40</x:v>
      </x:c>
      <x:c r="C42" s="16" t="str">
        <x:v>8/24-8/28</x:v>
      </x:c>
      <x:c r="D42" s="16" t="str">
        <x:v>상암</x:v>
      </x:c>
      <x:c r="E42" s="16" t="str">
        <x:v>상암 성암로 179</x:v>
      </x:c>
      <x:c r="F42" s="16" t="str">
        <x:v>손해</x:v>
      </x:c>
      <x:c r="G42" s="16" t="str">
        <x:v>삼성화재</x:v>
      </x:c>
      <x:c r="H42" s="16" t="str">
        <x:v>RC</x:v>
      </x:c>
      <x:c r="I42" s="16" t="str">
        <x:v>마포지점</x:v>
      </x:c>
      <x:c r="J42" s="17" t="str">
        <x:v>서울 마포구 성암로 179 11층 마포지점 (상암동, 한샘상암)</x:v>
      </x:c>
      <x:c r="K42" s="16" t="str">
        <x:v>02-317-5070</x:v>
      </x:c>
      <x:c r="L42" s="18" t="n">
        <x:v>4</x:v>
      </x:c>
      <x:c r="M42" s="18" t="n">
        <x:v>5</x:v>
      </x:c>
      <x:c r="N42" s="18" t="n">
        <x:v>5</x:v>
      </x:c>
      <x:c r="O42" s="18" t="n">
        <x:v>4</x:v>
      </x:c>
      <x:c r="P42" s="18" t="n">
        <x:f>ROUND((L42*30+M42*35+N42*20+O42*15)/5,0)</x:f>
        <x:v>91</x:v>
      </x:c>
      <x:c r="Q42" s="17" t="str">
        <x:v>같은 건물의 지점별 관리직 미팅을 30분 간격으로 사전 확정 → 손글씨 엽서·리플렛·명함·스티커 전달</x:v>
      </x:c>
      <x:c r="R42" s="19" t="str">
        <x:v>미연락</x:v>
      </x:c>
      <x:c r="S42" s="19" t="str">
        <x:v>미정</x:v>
      </x:c>
      <x:c r="T42" s="19" t="str"/>
      <x:c r="U42" s="21"/>
      <x:c r="V42" s="21"/>
      <x:c r="W42" s="22" t="n">
        <x:v>0</x:v>
      </x:c>
      <x:c r="X42" s="22" t="n">
        <x:v>0</x:v>
      </x:c>
      <x:c r="Y42" s="20" t="str"/>
      <x:c r="Z42" s="17" t="str">
        <x:v>https://www.samsungfire.com/sfmi/ui/m/home/cust/MO_CS_SearchBranchList.html</x:v>
      </x:c>
    </x:row>
    <x:row r="43" ht="38" customHeight="1">
      <x:c r="A43" s="16" t="n">
        <x:v>38</x:v>
      </x:c>
      <x:c r="B43" s="16" t="str">
        <x:v>우선 40</x:v>
      </x:c>
      <x:c r="C43" s="16" t="str">
        <x:v>8/24-8/28</x:v>
      </x:c>
      <x:c r="D43" s="16" t="str">
        <x:v>상암</x:v>
      </x:c>
      <x:c r="E43" s="16" t="str">
        <x:v>상암 성암로 179</x:v>
      </x:c>
      <x:c r="F43" s="16" t="str">
        <x:v>손해</x:v>
      </x:c>
      <x:c r="G43" s="16" t="str">
        <x:v>삼성화재</x:v>
      </x:c>
      <x:c r="H43" s="16" t="str">
        <x:v>RC</x:v>
      </x:c>
      <x:c r="I43" s="16" t="str">
        <x:v>상암DMC지점</x:v>
      </x:c>
      <x:c r="J43" s="17" t="str">
        <x:v>서울 마포구 성암로 179 11층 서대문지점 (상암동)</x:v>
      </x:c>
      <x:c r="K43" s="16" t="str">
        <x:v>02-317-5131</x:v>
      </x:c>
      <x:c r="L43" s="18" t="n">
        <x:v>4</x:v>
      </x:c>
      <x:c r="M43" s="18" t="n">
        <x:v>5</x:v>
      </x:c>
      <x:c r="N43" s="18" t="n">
        <x:v>5</x:v>
      </x:c>
      <x:c r="O43" s="18" t="n">
        <x:v>4</x:v>
      </x:c>
      <x:c r="P43" s="18" t="n">
        <x:f>ROUND((L43*30+M43*35+N43*20+O43*15)/5,0)</x:f>
        <x:v>91</x:v>
      </x:c>
      <x:c r="Q43" s="17" t="str">
        <x:v>같은 건물의 지점별 관리직 미팅을 30분 간격으로 사전 확정 → 손글씨 엽서·리플렛·명함·스티커 전달</x:v>
      </x:c>
      <x:c r="R43" s="19" t="str">
        <x:v>미연락</x:v>
      </x:c>
      <x:c r="S43" s="19" t="str">
        <x:v>미정</x:v>
      </x:c>
      <x:c r="T43" s="19" t="str"/>
      <x:c r="U43" s="21"/>
      <x:c r="V43" s="21"/>
      <x:c r="W43" s="22" t="n">
        <x:v>0</x:v>
      </x:c>
      <x:c r="X43" s="22" t="n">
        <x:v>0</x:v>
      </x:c>
      <x:c r="Y43" s="20" t="str"/>
      <x:c r="Z43" s="17" t="str">
        <x:v>https://www.samsungfire.com/sfmi/ui/m/home/cust/MO_CS_SearchBranchList.html</x:v>
      </x:c>
    </x:row>
    <x:row r="44" ht="38" customHeight="1">
      <x:c r="A44" s="16" t="n">
        <x:v>39</x:v>
      </x:c>
      <x:c r="B44" s="16" t="str">
        <x:v>우선 40</x:v>
      </x:c>
      <x:c r="C44" s="16" t="str">
        <x:v>8/24-8/28</x:v>
      </x:c>
      <x:c r="D44" s="16" t="str">
        <x:v>합정</x:v>
      </x:c>
      <x:c r="E44" s="16" t="str">
        <x:v>합정오피스빌딩</x:v>
      </x:c>
      <x:c r="F44" s="16" t="str">
        <x:v>손해</x:v>
      </x:c>
      <x:c r="G44" s="16" t="str">
        <x:v>DB손해보험</x:v>
      </x:c>
      <x:c r="H44" s="16" t="str">
        <x:v>PA</x:v>
      </x:c>
      <x:c r="I44" s="16" t="str">
        <x:v>서부지점</x:v>
      </x:c>
      <x:c r="J44" s="17" t="str">
        <x:v>서울 마포구 양화로 19 10층 (합정동, 합정오피스빌딩)</x:v>
      </x:c>
      <x:c r="K44" s="16" t="str">
        <x:v>02-311-0114</x:v>
      </x:c>
      <x:c r="L44" s="18" t="n">
        <x:v>4</x:v>
      </x:c>
      <x:c r="M44" s="18" t="n">
        <x:v>5</x:v>
      </x:c>
      <x:c r="N44" s="18" t="n">
        <x:v>5</x:v>
      </x:c>
      <x:c r="O44" s="18" t="n">
        <x:v>4</x:v>
      </x:c>
      <x:c r="P44" s="18" t="n">
        <x:f>ROUND((L44*30+M44*35+N44*20+O44*15)/5,0)</x:f>
        <x:v>91</x:v>
      </x:c>
      <x:c r="Q44" s="17" t="str">
        <x:v>같은 건물의 지점별 관리직 미팅을 30분 간격으로 사전 확정 → 손글씨 엽서·리플렛·명함·스티커 전달</x:v>
      </x:c>
      <x:c r="R44" s="19" t="str">
        <x:v>미연락</x:v>
      </x:c>
      <x:c r="S44" s="19" t="str">
        <x:v>미정</x:v>
      </x:c>
      <x:c r="T44" s="19" t="str"/>
      <x:c r="U44" s="21"/>
      <x:c r="V44" s="21"/>
      <x:c r="W44" s="22" t="n">
        <x:v>0</x:v>
      </x:c>
      <x:c r="X44" s="22" t="n">
        <x:v>0</x:v>
      </x:c>
      <x:c r="Y44" s="20" t="str"/>
      <x:c r="Z44" s="17" t="str">
        <x:v>https://www.idbins.com/FWCUSP1331.do</x:v>
      </x:c>
    </x:row>
    <x:row r="45" ht="38" customHeight="1">
      <x:c r="A45" s="16" t="n">
        <x:v>40</x:v>
      </x:c>
      <x:c r="B45" s="16" t="str">
        <x:v>우선 40</x:v>
      </x:c>
      <x:c r="C45" s="16" t="str">
        <x:v>8/24-8/28</x:v>
      </x:c>
      <x:c r="D45" s="16" t="str">
        <x:v>합정</x:v>
      </x:c>
      <x:c r="E45" s="16" t="str">
        <x:v>합정오피스빌딩</x:v>
      </x:c>
      <x:c r="F45" s="16" t="str">
        <x:v>손해</x:v>
      </x:c>
      <x:c r="G45" s="16" t="str">
        <x:v>DB손해보험</x:v>
      </x:c>
      <x:c r="H45" s="16" t="str">
        <x:v>PA</x:v>
      </x:c>
      <x:c r="I45" s="16" t="str">
        <x:v>서대문지점</x:v>
      </x:c>
      <x:c r="J45" s="17" t="str">
        <x:v>서울 마포구 양화로 19 10층 (합정동, 합정오피스빌딩)</x:v>
      </x:c>
      <x:c r="K45" s="16" t="str">
        <x:v>02-311-0117</x:v>
      </x:c>
      <x:c r="L45" s="18" t="n">
        <x:v>4</x:v>
      </x:c>
      <x:c r="M45" s="18" t="n">
        <x:v>5</x:v>
      </x:c>
      <x:c r="N45" s="18" t="n">
        <x:v>5</x:v>
      </x:c>
      <x:c r="O45" s="18" t="n">
        <x:v>4</x:v>
      </x:c>
      <x:c r="P45" s="18" t="n">
        <x:f>ROUND((L45*30+M45*35+N45*20+O45*15)/5,0)</x:f>
        <x:v>91</x:v>
      </x:c>
      <x:c r="Q45" s="17" t="str">
        <x:v>같은 건물의 지점별 관리직 미팅을 30분 간격으로 사전 확정 → 손글씨 엽서·리플렛·명함·스티커 전달</x:v>
      </x:c>
      <x:c r="R45" s="19" t="str">
        <x:v>미연락</x:v>
      </x:c>
      <x:c r="S45" s="19" t="str">
        <x:v>미정</x:v>
      </x:c>
      <x:c r="T45" s="19" t="str"/>
      <x:c r="U45" s="21"/>
      <x:c r="V45" s="21"/>
      <x:c r="W45" s="22" t="n">
        <x:v>0</x:v>
      </x:c>
      <x:c r="X45" s="22" t="n">
        <x:v>0</x:v>
      </x:c>
      <x:c r="Y45" s="20" t="str"/>
      <x:c r="Z45" s="17" t="str">
        <x:v>https://www.idbins.com/FWCUSP1331.do</x:v>
      </x:c>
    </x:row>
    <x:row r="46" ht="38" customHeight="1">
      <x:c r="A46" s="16" t="n">
        <x:v>41</x:v>
      </x:c>
      <x:c r="B46" s="16" t="str">
        <x:v>확장 40</x:v>
      </x:c>
      <x:c r="C46" s="16" t="str">
        <x:v>9월 1주</x:v>
      </x:c>
      <x:c r="D46" s="16" t="str">
        <x:v>강남·서초</x:v>
      </x:c>
      <x:c r="E46" s="16" t="str">
        <x:v>교보타워 서초</x:v>
      </x:c>
      <x:c r="F46" s="16" t="str">
        <x:v>생명</x:v>
      </x:c>
      <x:c r="G46" s="16" t="str">
        <x:v>교보생명</x:v>
      </x:c>
      <x:c r="H46" s="16" t="str">
        <x:v>FP</x:v>
      </x:c>
      <x:c r="I46" s="16" t="str">
        <x:v>강남FP</x:v>
      </x:c>
      <x:c r="J46" s="17" t="str">
        <x:v>서울 서초구 강남대로 465 A동 4층 강남FP지점 (서초동, 교보타워)</x:v>
      </x:c>
      <x:c r="K46" s="16" t="str">
        <x:v>02-3480-4561</x:v>
      </x:c>
      <x:c r="L46" s="18" t="n">
        <x:v>5</x:v>
      </x:c>
      <x:c r="M46" s="18" t="n">
        <x:v>5</x:v>
      </x:c>
      <x:c r="N46" s="18" t="n">
        <x:v>5</x:v>
      </x:c>
      <x:c r="O46" s="18" t="n">
        <x:v>3</x:v>
      </x:c>
      <x:c r="P46" s="18" t="n">
        <x:f>ROUND((L46*30+M46*35+N46*20+O46*15)/5,0)</x:f>
        <x:v>94</x:v>
      </x:c>
      <x:c r="Q46" s="17" t="str">
        <x:v>지점 대표번호로 지점장·팀장 연결 요청 → 15분 시연·사용성 인터뷰 일정 확정</x:v>
      </x:c>
      <x:c r="R46" s="19" t="str">
        <x:v>미연락</x:v>
      </x:c>
      <x:c r="S46" s="19" t="str">
        <x:v>미정</x:v>
      </x:c>
      <x:c r="T46" s="19" t="str"/>
      <x:c r="U46" s="21"/>
      <x:c r="V46" s="21"/>
      <x:c r="W46" s="22" t="n">
        <x:v>0</x:v>
      </x:c>
      <x:c r="X46" s="22" t="n">
        <x:v>0</x:v>
      </x:c>
      <x:c r="Y46" s="20" t="str"/>
      <x:c r="Z46" s="17" t="str">
        <x:v>https://www.kyobo.com/dgt/web/dtm/cs/ub/PCSUBNL7000</x:v>
      </x:c>
    </x:row>
    <x:row r="47" ht="38" customHeight="1">
      <x:c r="A47" s="16" t="n">
        <x:v>42</x:v>
      </x:c>
      <x:c r="B47" s="16" t="str">
        <x:v>확장 40</x:v>
      </x:c>
      <x:c r="C47" s="16" t="str">
        <x:v>9월 1주</x:v>
      </x:c>
      <x:c r="D47" s="16" t="str">
        <x:v>강남·서초</x:v>
      </x:c>
      <x:c r="E47" s="16" t="str">
        <x:v>교보타워 서초</x:v>
      </x:c>
      <x:c r="F47" s="16" t="str">
        <x:v>생명</x:v>
      </x:c>
      <x:c r="G47" s="16" t="str">
        <x:v>교보생명</x:v>
      </x:c>
      <x:c r="H47" s="16" t="str">
        <x:v>FP</x:v>
      </x:c>
      <x:c r="I47" s="16" t="str">
        <x:v>강남VIPFP</x:v>
      </x:c>
      <x:c r="J47" s="17" t="str">
        <x:v>서울 서초구 강남대로 465 A동 5층 강남VIPFP지점 (서초동, 교보타워)</x:v>
      </x:c>
      <x:c r="K47" s="16" t="str">
        <x:v>02-588-7459</x:v>
      </x:c>
      <x:c r="L47" s="18" t="n">
        <x:v>5</x:v>
      </x:c>
      <x:c r="M47" s="18" t="n">
        <x:v>5</x:v>
      </x:c>
      <x:c r="N47" s="18" t="n">
        <x:v>5</x:v>
      </x:c>
      <x:c r="O47" s="18" t="n">
        <x:v>3</x:v>
      </x:c>
      <x:c r="P47" s="18" t="n">
        <x:f>ROUND((L47*30+M47*35+N47*20+O47*15)/5,0)</x:f>
        <x:v>94</x:v>
      </x:c>
      <x:c r="Q47" s="17" t="str">
        <x:v>지점 대표번호로 지점장·팀장 연결 요청 → 15분 시연·사용성 인터뷰 일정 확정</x:v>
      </x:c>
      <x:c r="R47" s="19" t="str">
        <x:v>미연락</x:v>
      </x:c>
      <x:c r="S47" s="19" t="str">
        <x:v>미정</x:v>
      </x:c>
      <x:c r="T47" s="19" t="str"/>
      <x:c r="U47" s="21"/>
      <x:c r="V47" s="21"/>
      <x:c r="W47" s="22" t="n">
        <x:v>0</x:v>
      </x:c>
      <x:c r="X47" s="22" t="n">
        <x:v>0</x:v>
      </x:c>
      <x:c r="Y47" s="20" t="str"/>
      <x:c r="Z47" s="17" t="str">
        <x:v>https://www.kyobo.com/dgt/web/dtm/cs/ub/PCSUBNL7000</x:v>
      </x:c>
    </x:row>
    <x:row r="48" ht="38" customHeight="1">
      <x:c r="A48" s="16" t="n">
        <x:v>43</x:v>
      </x:c>
      <x:c r="B48" s="16" t="str">
        <x:v>확장 40</x:v>
      </x:c>
      <x:c r="C48" s="16" t="str">
        <x:v>9월 1주</x:v>
      </x:c>
      <x:c r="D48" s="16" t="str">
        <x:v>강남·서초</x:v>
      </x:c>
      <x:c r="E48" s="16" t="str">
        <x:v>교보타워 서초</x:v>
      </x:c>
      <x:c r="F48" s="16" t="str">
        <x:v>생명</x:v>
      </x:c>
      <x:c r="G48" s="16" t="str">
        <x:v>교보생명</x:v>
      </x:c>
      <x:c r="H48" s="16" t="str">
        <x:v>FP</x:v>
      </x:c>
      <x:c r="I48" s="16" t="str">
        <x:v>강남타워FP</x:v>
      </x:c>
      <x:c r="J48" s="17" t="str">
        <x:v>서울 서초구 강남대로 465 A동 13층 강남타워FP지점 (서초동, 교보타워)</x:v>
      </x:c>
      <x:c r="K48" s="16" t="str">
        <x:v>02-3480-4570</x:v>
      </x:c>
      <x:c r="L48" s="18" t="n">
        <x:v>5</x:v>
      </x:c>
      <x:c r="M48" s="18" t="n">
        <x:v>5</x:v>
      </x:c>
      <x:c r="N48" s="18" t="n">
        <x:v>5</x:v>
      </x:c>
      <x:c r="O48" s="18" t="n">
        <x:v>3</x:v>
      </x:c>
      <x:c r="P48" s="18" t="n">
        <x:f>ROUND((L48*30+M48*35+N48*20+O48*15)/5,0)</x:f>
        <x:v>94</x:v>
      </x:c>
      <x:c r="Q48" s="17" t="str">
        <x:v>지점 대표번호로 지점장·팀장 연결 요청 → 15분 시연·사용성 인터뷰 일정 확정</x:v>
      </x:c>
      <x:c r="R48" s="19" t="str">
        <x:v>미연락</x:v>
      </x:c>
      <x:c r="S48" s="19" t="str">
        <x:v>미정</x:v>
      </x:c>
      <x:c r="T48" s="19" t="str"/>
      <x:c r="U48" s="21"/>
      <x:c r="V48" s="21"/>
      <x:c r="W48" s="22" t="n">
        <x:v>0</x:v>
      </x:c>
      <x:c r="X48" s="22" t="n">
        <x:v>0</x:v>
      </x:c>
      <x:c r="Y48" s="20" t="str"/>
      <x:c r="Z48" s="17" t="str">
        <x:v>https://www.kyobo.com/dgt/web/dtm/cs/ub/PCSUBNL7000</x:v>
      </x:c>
    </x:row>
    <x:row r="49" ht="38" customHeight="1">
      <x:c r="A49" s="16" t="n">
        <x:v>44</x:v>
      </x:c>
      <x:c r="B49" s="16" t="str">
        <x:v>확장 40</x:v>
      </x:c>
      <x:c r="C49" s="16" t="str">
        <x:v>9월 1주</x:v>
      </x:c>
      <x:c r="D49" s="16" t="str">
        <x:v>강남·서초</x:v>
      </x:c>
      <x:c r="E49" s="16" t="str">
        <x:v>국제전자센터</x:v>
      </x:c>
      <x:c r="F49" s="16" t="str">
        <x:v>생명</x:v>
      </x:c>
      <x:c r="G49" s="16" t="str">
        <x:v>교보생명</x:v>
      </x:c>
      <x:c r="H49" s="16" t="str">
        <x:v>FP</x:v>
      </x:c>
      <x:c r="I49" s="16" t="str">
        <x:v>도곡FP</x:v>
      </x:c>
      <x:c r="J49" s="17" t="str">
        <x:v>서울 서초구 효령로 304 17층 도곡FP지점 (서초동, 국제전자센터)</x:v>
      </x:c>
      <x:c r="K49" s="16" t="str">
        <x:v>02-3481-2471</x:v>
      </x:c>
      <x:c r="L49" s="18" t="n">
        <x:v>4</x:v>
      </x:c>
      <x:c r="M49" s="18" t="n">
        <x:v>5</x:v>
      </x:c>
      <x:c r="N49" s="18" t="n">
        <x:v>5</x:v>
      </x:c>
      <x:c r="O49" s="18" t="n">
        <x:v>3</x:v>
      </x:c>
      <x:c r="P49" s="18" t="n">
        <x:f>ROUND((L49*30+M49*35+N49*20+O49*15)/5,0)</x:f>
        <x:v>88</x:v>
      </x:c>
      <x:c r="Q49" s="17" t="str">
        <x:v>지점 대표번호로 지점장·팀장 연결 요청 → 15분 시연·사용성 인터뷰 일정 확정</x:v>
      </x:c>
      <x:c r="R49" s="19" t="str">
        <x:v>미연락</x:v>
      </x:c>
      <x:c r="S49" s="19" t="str">
        <x:v>미정</x:v>
      </x:c>
      <x:c r="T49" s="19" t="str"/>
      <x:c r="U49" s="21"/>
      <x:c r="V49" s="21"/>
      <x:c r="W49" s="22" t="n">
        <x:v>0</x:v>
      </x:c>
      <x:c r="X49" s="22" t="n">
        <x:v>0</x:v>
      </x:c>
      <x:c r="Y49" s="20" t="str"/>
      <x:c r="Z49" s="17" t="str">
        <x:v>https://www.kyobo.com/dgt/web/dtm/cs/ub/PCSUBNL7000</x:v>
      </x:c>
    </x:row>
    <x:row r="50" ht="38" customHeight="1">
      <x:c r="A50" s="16" t="n">
        <x:v>45</x:v>
      </x:c>
      <x:c r="B50" s="16" t="str">
        <x:v>확장 40</x:v>
      </x:c>
      <x:c r="C50" s="16" t="str">
        <x:v>9월 1주</x:v>
      </x:c>
      <x:c r="D50" s="16" t="str">
        <x:v>강남·서초</x:v>
      </x:c>
      <x:c r="E50" s="16" t="str">
        <x:v>삼성화재 서초사옥</x:v>
      </x:c>
      <x:c r="F50" s="16" t="str">
        <x:v>손해</x:v>
      </x:c>
      <x:c r="G50" s="16" t="str">
        <x:v>삼성화재</x:v>
      </x:c>
      <x:c r="H50" s="16" t="str">
        <x:v>RC</x:v>
      </x:c>
      <x:c r="I50" s="16" t="str">
        <x:v>강남미래지점</x:v>
      </x:c>
      <x:c r="J50" s="17" t="str">
        <x:v>서울 서초구 강남대로 355 7층 YB1지점 (서초동, 삼성화재 서초사옥)</x:v>
      </x:c>
      <x:c r="K50" s="16" t="str">
        <x:v>02-3465-8300</x:v>
      </x:c>
      <x:c r="L50" s="18" t="n">
        <x:v>4</x:v>
      </x:c>
      <x:c r="M50" s="18" t="n">
        <x:v>5</x:v>
      </x:c>
      <x:c r="N50" s="18" t="n">
        <x:v>5</x:v>
      </x:c>
      <x:c r="O50" s="18" t="n">
        <x:v>3</x:v>
      </x:c>
      <x:c r="P50" s="18" t="n">
        <x:f>ROUND((L50*30+M50*35+N50*20+O50*15)/5,0)</x:f>
        <x:v>88</x:v>
      </x:c>
      <x:c r="Q50" s="17" t="str">
        <x:v>지점 대표번호로 지점장·팀장 연결 요청 → 15분 시연·사용성 인터뷰 일정 확정</x:v>
      </x:c>
      <x:c r="R50" s="19" t="str">
        <x:v>미연락</x:v>
      </x:c>
      <x:c r="S50" s="19" t="str">
        <x:v>미정</x:v>
      </x:c>
      <x:c r="T50" s="19" t="str"/>
      <x:c r="U50" s="21"/>
      <x:c r="V50" s="21"/>
      <x:c r="W50" s="22" t="n">
        <x:v>0</x:v>
      </x:c>
      <x:c r="X50" s="22" t="n">
        <x:v>0</x:v>
      </x:c>
      <x:c r="Y50" s="20" t="str"/>
      <x:c r="Z50" s="17" t="str">
        <x:v>https://www.samsungfire.com/sfmi/ui/m/home/cust/MO_CS_SearchBranchList.html</x:v>
      </x:c>
    </x:row>
    <x:row r="51" ht="38" customHeight="1">
      <x:c r="A51" s="16" t="n">
        <x:v>46</x:v>
      </x:c>
      <x:c r="B51" s="16" t="str">
        <x:v>확장 40</x:v>
      </x:c>
      <x:c r="C51" s="16" t="str">
        <x:v>9월 1주</x:v>
      </x:c>
      <x:c r="D51" s="16" t="str">
        <x:v>강남·서초</x:v>
      </x:c>
      <x:c r="E51" s="16" t="str">
        <x:v>삼성화재 역삼빌딩</x:v>
      </x:c>
      <x:c r="F51" s="16" t="str">
        <x:v>손해</x:v>
      </x:c>
      <x:c r="G51" s="16" t="str">
        <x:v>삼성화재</x:v>
      </x:c>
      <x:c r="H51" s="16" t="str">
        <x:v>RC</x:v>
      </x:c>
      <x:c r="I51" s="16" t="str">
        <x:v>강남중앙지점</x:v>
      </x:c>
      <x:c r="J51" s="17" t="str">
        <x:v>서울 강남구 테헤란로 114 19층 (역삼동, 역삼빌딩)</x:v>
      </x:c>
      <x:c r="K51" s="16" t="str">
        <x:v>02-3468-9535</x:v>
      </x:c>
      <x:c r="L51" s="18" t="n">
        <x:v>4</x:v>
      </x:c>
      <x:c r="M51" s="18" t="n">
        <x:v>5</x:v>
      </x:c>
      <x:c r="N51" s="18" t="n">
        <x:v>5</x:v>
      </x:c>
      <x:c r="O51" s="18" t="n">
        <x:v>3</x:v>
      </x:c>
      <x:c r="P51" s="18" t="n">
        <x:f>ROUND((L51*30+M51*35+N51*20+O51*15)/5,0)</x:f>
        <x:v>88</x:v>
      </x:c>
      <x:c r="Q51" s="17" t="str">
        <x:v>지점 대표번호로 지점장·팀장 연결 요청 → 15분 시연·사용성 인터뷰 일정 확정</x:v>
      </x:c>
      <x:c r="R51" s="19" t="str">
        <x:v>미연락</x:v>
      </x:c>
      <x:c r="S51" s="19" t="str">
        <x:v>미정</x:v>
      </x:c>
      <x:c r="T51" s="19" t="str"/>
      <x:c r="U51" s="21"/>
      <x:c r="V51" s="21"/>
      <x:c r="W51" s="22" t="n">
        <x:v>0</x:v>
      </x:c>
      <x:c r="X51" s="22" t="n">
        <x:v>0</x:v>
      </x:c>
      <x:c r="Y51" s="20" t="str"/>
      <x:c r="Z51" s="17" t="str">
        <x:v>https://www.samsungfire.com/sfmi/ui/m/home/cust/MO_CS_SearchBranchList.html</x:v>
      </x:c>
    </x:row>
    <x:row r="52" ht="38" customHeight="1">
      <x:c r="A52" s="16" t="n">
        <x:v>47</x:v>
      </x:c>
      <x:c r="B52" s="16" t="str">
        <x:v>확장 40</x:v>
      </x:c>
      <x:c r="C52" s="16" t="str">
        <x:v>9월 1주</x:v>
      </x:c>
      <x:c r="D52" s="16" t="str">
        <x:v>방배·사당</x:v>
      </x:c>
      <x:c r="E52" s="16" t="str">
        <x:v>방배 구산타워</x:v>
      </x:c>
      <x:c r="F52" s="16" t="str">
        <x:v>손해</x:v>
      </x:c>
      <x:c r="G52" s="16" t="str">
        <x:v>삼성화재</x:v>
      </x:c>
      <x:c r="H52" s="16" t="str">
        <x:v>RC</x:v>
      </x:c>
      <x:c r="I52" s="16" t="str">
        <x:v>방배지점</x:v>
      </x:c>
      <x:c r="J52" s="17" t="str">
        <x:v>서울 서초구 방배천로 91 15층 방배지점 (방배동, 구산타워)</x:v>
      </x:c>
      <x:c r="K52" s="16" t="str">
        <x:v>02-585-7114</x:v>
      </x:c>
      <x:c r="L52" s="18" t="n">
        <x:v>4</x:v>
      </x:c>
      <x:c r="M52" s="18" t="n">
        <x:v>5</x:v>
      </x:c>
      <x:c r="N52" s="18" t="n">
        <x:v>5</x:v>
      </x:c>
      <x:c r="O52" s="18" t="n">
        <x:v>3</x:v>
      </x:c>
      <x:c r="P52" s="18" t="n">
        <x:f>ROUND((L52*30+M52*35+N52*20+O52*15)/5,0)</x:f>
        <x:v>88</x:v>
      </x:c>
      <x:c r="Q52" s="17" t="str">
        <x:v>지점 대표번호로 지점장·팀장 연결 요청 → 15분 시연·사용성 인터뷰 일정 확정</x:v>
      </x:c>
      <x:c r="R52" s="19" t="str">
        <x:v>미연락</x:v>
      </x:c>
      <x:c r="S52" s="19" t="str">
        <x:v>미정</x:v>
      </x:c>
      <x:c r="T52" s="19" t="str"/>
      <x:c r="U52" s="21"/>
      <x:c r="V52" s="21"/>
      <x:c r="W52" s="22" t="n">
        <x:v>0</x:v>
      </x:c>
      <x:c r="X52" s="22" t="n">
        <x:v>0</x:v>
      </x:c>
      <x:c r="Y52" s="20" t="str"/>
      <x:c r="Z52" s="17" t="str">
        <x:v>https://www.samsungfire.com/sfmi/ui/m/home/cust/MO_CS_SearchBranchList.html</x:v>
      </x:c>
    </x:row>
    <x:row r="53" ht="38" customHeight="1">
      <x:c r="A53" s="16" t="n">
        <x:v>48</x:v>
      </x:c>
      <x:c r="B53" s="16" t="str">
        <x:v>확장 40</x:v>
      </x:c>
      <x:c r="C53" s="16" t="str">
        <x:v>9월 1주</x:v>
      </x:c>
      <x:c r="D53" s="16" t="str">
        <x:v>방배·사당</x:v>
      </x:c>
      <x:c r="E53" s="16" t="str">
        <x:v>방배 구산타워</x:v>
      </x:c>
      <x:c r="F53" s="16" t="str">
        <x:v>손해</x:v>
      </x:c>
      <x:c r="G53" s="16" t="str">
        <x:v>삼성화재</x:v>
      </x:c>
      <x:c r="H53" s="16" t="str">
        <x:v>RC</x:v>
      </x:c>
      <x:c r="I53" s="16" t="str">
        <x:v>서초지점</x:v>
      </x:c>
      <x:c r="J53" s="17" t="str">
        <x:v>서울 서초구 방배천로 91 16층 서초비전지점 (방배동, 구산타워)</x:v>
      </x:c>
      <x:c r="K53" s="16" t="str">
        <x:v>02-521-9830</x:v>
      </x:c>
      <x:c r="L53" s="18" t="n">
        <x:v>4</x:v>
      </x:c>
      <x:c r="M53" s="18" t="n">
        <x:v>5</x:v>
      </x:c>
      <x:c r="N53" s="18" t="n">
        <x:v>5</x:v>
      </x:c>
      <x:c r="O53" s="18" t="n">
        <x:v>3</x:v>
      </x:c>
      <x:c r="P53" s="18" t="n">
        <x:f>ROUND((L53*30+M53*35+N53*20+O53*15)/5,0)</x:f>
        <x:v>88</x:v>
      </x:c>
      <x:c r="Q53" s="17" t="str">
        <x:v>지점 대표번호로 지점장·팀장 연결 요청 → 15분 시연·사용성 인터뷰 일정 확정</x:v>
      </x:c>
      <x:c r="R53" s="19" t="str">
        <x:v>미연락</x:v>
      </x:c>
      <x:c r="S53" s="19" t="str">
        <x:v>미정</x:v>
      </x:c>
      <x:c r="T53" s="19" t="str"/>
      <x:c r="U53" s="21"/>
      <x:c r="V53" s="21"/>
      <x:c r="W53" s="22" t="n">
        <x:v>0</x:v>
      </x:c>
      <x:c r="X53" s="22" t="n">
        <x:v>0</x:v>
      </x:c>
      <x:c r="Y53" s="20" t="str"/>
      <x:c r="Z53" s="17" t="str">
        <x:v>https://www.samsungfire.com/sfmi/ui/m/home/cust/MO_CS_SearchBranchList.html</x:v>
      </x:c>
    </x:row>
    <x:row r="54" ht="38" customHeight="1">
      <x:c r="A54" s="16" t="n">
        <x:v>49</x:v>
      </x:c>
      <x:c r="B54" s="16" t="str">
        <x:v>확장 40</x:v>
      </x:c>
      <x:c r="C54" s="16" t="str">
        <x:v>9월 2주</x:v>
      </x:c>
      <x:c r="D54" s="16" t="str">
        <x:v>광명</x:v>
      </x:c>
      <x:c r="E54" s="16" t="str">
        <x:v>광명 대호엠스퀘어</x:v>
      </x:c>
      <x:c r="F54" s="16" t="str">
        <x:v>생명</x:v>
      </x:c>
      <x:c r="G54" s="16" t="str">
        <x:v>교보생명</x:v>
      </x:c>
      <x:c r="H54" s="16" t="str">
        <x:v>FP</x:v>
      </x:c>
      <x:c r="I54" s="16" t="str">
        <x:v>광명FP</x:v>
      </x:c>
      <x:c r="J54" s="17" t="str">
        <x:v>경기 광명시 신기로 21 10층 광명FP지점 (일직동, 대호엠스퀘어)</x:v>
      </x:c>
      <x:c r="K54" s="16" t="str">
        <x:v>02-2682-3225</x:v>
      </x:c>
      <x:c r="L54" s="18" t="n">
        <x:v>4</x:v>
      </x:c>
      <x:c r="M54" s="18" t="n">
        <x:v>5</x:v>
      </x:c>
      <x:c r="N54" s="18" t="n">
        <x:v>5</x:v>
      </x:c>
      <x:c r="O54" s="18" t="n">
        <x:v>4</x:v>
      </x:c>
      <x:c r="P54" s="18" t="n">
        <x:f>ROUND((L54*30+M54*35+N54*20+O54*15)/5,0)</x:f>
        <x:v>91</x:v>
      </x:c>
      <x:c r="Q54" s="17" t="str">
        <x:v>지점 대표번호로 지점장·팀장 연결 요청 → 15분 시연·사용성 인터뷰 일정 확정</x:v>
      </x:c>
      <x:c r="R54" s="19" t="str">
        <x:v>미연락</x:v>
      </x:c>
      <x:c r="S54" s="19" t="str">
        <x:v>미정</x:v>
      </x:c>
      <x:c r="T54" s="19" t="str"/>
      <x:c r="U54" s="21"/>
      <x:c r="V54" s="21"/>
      <x:c r="W54" s="22" t="n">
        <x:v>0</x:v>
      </x:c>
      <x:c r="X54" s="22" t="n">
        <x:v>0</x:v>
      </x:c>
      <x:c r="Y54" s="20" t="str"/>
      <x:c r="Z54" s="17" t="str">
        <x:v>https://www.kyobo.com/dgt/web/dtm/cs/ub/PCSUBNL7000</x:v>
      </x:c>
    </x:row>
    <x:row r="55" ht="38" customHeight="1">
      <x:c r="A55" s="16" t="n">
        <x:v>50</x:v>
      </x:c>
      <x:c r="B55" s="16" t="str">
        <x:v>확장 40</x:v>
      </x:c>
      <x:c r="C55" s="16" t="str">
        <x:v>9월 2주</x:v>
      </x:c>
      <x:c r="D55" s="16" t="str">
        <x:v>광명</x:v>
      </x:c>
      <x:c r="E55" s="16" t="str">
        <x:v>광명 대호엠스퀘어</x:v>
      </x:c>
      <x:c r="F55" s="16" t="str">
        <x:v>생명</x:v>
      </x:c>
      <x:c r="G55" s="16" t="str">
        <x:v>교보생명</x:v>
      </x:c>
      <x:c r="H55" s="16" t="str">
        <x:v>FP</x:v>
      </x:c>
      <x:c r="I55" s="16" t="str">
        <x:v>광명제일FP</x:v>
      </x:c>
      <x:c r="J55" s="17" t="str">
        <x:v>경기 광명시 신기로 21 9층 광명제일FP지점 (일직동, 대호엠스퀘어)</x:v>
      </x:c>
      <x:c r="K55" s="16" t="str">
        <x:v>02-892-5827</x:v>
      </x:c>
      <x:c r="L55" s="18" t="n">
        <x:v>4</x:v>
      </x:c>
      <x:c r="M55" s="18" t="n">
        <x:v>5</x:v>
      </x:c>
      <x:c r="N55" s="18" t="n">
        <x:v>5</x:v>
      </x:c>
      <x:c r="O55" s="18" t="n">
        <x:v>4</x:v>
      </x:c>
      <x:c r="P55" s="18" t="n">
        <x:f>ROUND((L55*30+M55*35+N55*20+O55*15)/5,0)</x:f>
        <x:v>91</x:v>
      </x:c>
      <x:c r="Q55" s="17" t="str">
        <x:v>지점 대표번호로 지점장·팀장 연결 요청 → 15분 시연·사용성 인터뷰 일정 확정</x:v>
      </x:c>
      <x:c r="R55" s="19" t="str">
        <x:v>미연락</x:v>
      </x:c>
      <x:c r="S55" s="19" t="str">
        <x:v>미정</x:v>
      </x:c>
      <x:c r="T55" s="19" t="str"/>
      <x:c r="U55" s="21"/>
      <x:c r="V55" s="21"/>
      <x:c r="W55" s="22" t="n">
        <x:v>0</x:v>
      </x:c>
      <x:c r="X55" s="22" t="n">
        <x:v>0</x:v>
      </x:c>
      <x:c r="Y55" s="20" t="str"/>
      <x:c r="Z55" s="17" t="str">
        <x:v>https://www.kyobo.com/dgt/web/dtm/cs/ub/PCSUBNL7000</x:v>
      </x:c>
    </x:row>
    <x:row r="56" ht="38" customHeight="1">
      <x:c r="A56" s="16" t="n">
        <x:v>51</x:v>
      </x:c>
      <x:c r="B56" s="16" t="str">
        <x:v>확장 40</x:v>
      </x:c>
      <x:c r="C56" s="16" t="str">
        <x:v>9월 2주</x:v>
      </x:c>
      <x:c r="D56" s="16" t="str">
        <x:v>부천</x:v>
      </x:c>
      <x:c r="E56" s="16" t="str">
        <x:v>부천 상동</x:v>
      </x:c>
      <x:c r="F56" s="16" t="str">
        <x:v>생명</x:v>
      </x:c>
      <x:c r="G56" s="16" t="str">
        <x:v>교보생명</x:v>
      </x:c>
      <x:c r="H56" s="16" t="str">
        <x:v>FP</x:v>
      </x:c>
      <x:c r="I56" s="16" t="str">
        <x:v>중동FP</x:v>
      </x:c>
      <x:c r="J56" s="17" t="str">
        <x:v>경기 부천시 송내대로 66 7층 중동FP지점 (상동, 용운빌딩)</x:v>
      </x:c>
      <x:c r="K56" s="16" t="str">
        <x:v>032-327-8811</x:v>
      </x:c>
      <x:c r="L56" s="18" t="n">
        <x:v>3</x:v>
      </x:c>
      <x:c r="M56" s="18" t="n">
        <x:v>5</x:v>
      </x:c>
      <x:c r="N56" s="18" t="n">
        <x:v>5</x:v>
      </x:c>
      <x:c r="O56" s="18" t="n">
        <x:v>4</x:v>
      </x:c>
      <x:c r="P56" s="18" t="n">
        <x:f>ROUND((L56*30+M56*35+N56*20+O56*15)/5,0)</x:f>
        <x:v>85</x:v>
      </x:c>
      <x:c r="Q56" s="17" t="str">
        <x:v>지점 대표번호로 지점장·팀장 연결 요청 → 15분 시연·사용성 인터뷰 일정 확정</x:v>
      </x:c>
      <x:c r="R56" s="19" t="str">
        <x:v>미연락</x:v>
      </x:c>
      <x:c r="S56" s="19" t="str">
        <x:v>미정</x:v>
      </x:c>
      <x:c r="T56" s="19" t="str"/>
      <x:c r="U56" s="21"/>
      <x:c r="V56" s="21"/>
      <x:c r="W56" s="22" t="n">
        <x:v>0</x:v>
      </x:c>
      <x:c r="X56" s="22" t="n">
        <x:v>0</x:v>
      </x:c>
      <x:c r="Y56" s="20" t="str"/>
      <x:c r="Z56" s="17" t="str">
        <x:v>https://www.kyobo.com/dgt/web/dtm/cs/ub/PCSUBNL7000</x:v>
      </x:c>
    </x:row>
    <x:row r="57" ht="38" customHeight="1">
      <x:c r="A57" s="16" t="n">
        <x:v>52</x:v>
      </x:c>
      <x:c r="B57" s="16" t="str">
        <x:v>확장 40</x:v>
      </x:c>
      <x:c r="C57" s="16" t="str">
        <x:v>9월 2주</x:v>
      </x:c>
      <x:c r="D57" s="16" t="str">
        <x:v>안양</x:v>
      </x:c>
      <x:c r="E57" s="16" t="str">
        <x:v>교보생명 안양사옥</x:v>
      </x:c>
      <x:c r="F57" s="16" t="str">
        <x:v>생명</x:v>
      </x:c>
      <x:c r="G57" s="16" t="str">
        <x:v>교보생명</x:v>
      </x:c>
      <x:c r="H57" s="16" t="str">
        <x:v>FP</x:v>
      </x:c>
      <x:c r="I57" s="16" t="str">
        <x:v>안양미래FP</x:v>
      </x:c>
      <x:c r="J57" s="17" t="str">
        <x:v>경기 안양시 만안구 안양로 331 4층 안양미래FP지점 (안양동)</x:v>
      </x:c>
      <x:c r="K57" s="16" t="str">
        <x:v>031-448-2298</x:v>
      </x:c>
      <x:c r="L57" s="18" t="n">
        <x:v>3</x:v>
      </x:c>
      <x:c r="M57" s="18" t="n">
        <x:v>5</x:v>
      </x:c>
      <x:c r="N57" s="18" t="n">
        <x:v>5</x:v>
      </x:c>
      <x:c r="O57" s="18" t="n">
        <x:v>3</x:v>
      </x:c>
      <x:c r="P57" s="18" t="n">
        <x:f>ROUND((L57*30+M57*35+N57*20+O57*15)/5,0)</x:f>
        <x:v>82</x:v>
      </x:c>
      <x:c r="Q57" s="17" t="str">
        <x:v>지점 대표번호로 지점장·팀장 연결 요청 → 15분 시연·사용성 인터뷰 일정 확정</x:v>
      </x:c>
      <x:c r="R57" s="19" t="str">
        <x:v>미연락</x:v>
      </x:c>
      <x:c r="S57" s="19" t="str">
        <x:v>미정</x:v>
      </x:c>
      <x:c r="T57" s="19" t="str"/>
      <x:c r="U57" s="21"/>
      <x:c r="V57" s="21"/>
      <x:c r="W57" s="22" t="n">
        <x:v>0</x:v>
      </x:c>
      <x:c r="X57" s="22" t="n">
        <x:v>0</x:v>
      </x:c>
      <x:c r="Y57" s="20" t="str"/>
      <x:c r="Z57" s="17" t="str">
        <x:v>https://www.kyobo.com/dgt/web/dtm/cs/ub/PCSUBNL7000</x:v>
      </x:c>
    </x:row>
    <x:row r="58" ht="38" customHeight="1">
      <x:c r="A58" s="16" t="n">
        <x:v>53</x:v>
      </x:c>
      <x:c r="B58" s="16" t="str">
        <x:v>확장 40</x:v>
      </x:c>
      <x:c r="C58" s="16" t="str">
        <x:v>9월 2주</x:v>
      </x:c>
      <x:c r="D58" s="16" t="str">
        <x:v>인천</x:v>
      </x:c>
      <x:c r="E58" s="16" t="str">
        <x:v>인천 구월동</x:v>
      </x:c>
      <x:c r="F58" s="16" t="str">
        <x:v>생명</x:v>
      </x:c>
      <x:c r="G58" s="16" t="str">
        <x:v>교보생명</x:v>
      </x:c>
      <x:c r="H58" s="16" t="str">
        <x:v>FP</x:v>
      </x:c>
      <x:c r="I58" s="16" t="str">
        <x:v>인천미래FP</x:v>
      </x:c>
      <x:c r="J58" s="17" t="str">
        <x:v>인천 남동구 예술로140번길 35 6층 인천미래FP지점 (구월동, 위너스글로벌)</x:v>
      </x:c>
      <x:c r="K58" s="16" t="str">
        <x:v>032-433-0548</x:v>
      </x:c>
      <x:c r="L58" s="18" t="n">
        <x:v>3</x:v>
      </x:c>
      <x:c r="M58" s="18" t="n">
        <x:v>5</x:v>
      </x:c>
      <x:c r="N58" s="18" t="n">
        <x:v>5</x:v>
      </x:c>
      <x:c r="O58" s="18" t="n">
        <x:v>2</x:v>
      </x:c>
      <x:c r="P58" s="18" t="n">
        <x:f>ROUND((L58*30+M58*35+N58*20+O58*15)/5,0)</x:f>
        <x:v>79</x:v>
      </x:c>
      <x:c r="Q58" s="17" t="str">
        <x:v>지점 대표번호로 지점장·팀장 연결 요청 → 15분 시연·사용성 인터뷰 일정 확정</x:v>
      </x:c>
      <x:c r="R58" s="19" t="str">
        <x:v>미연락</x:v>
      </x:c>
      <x:c r="S58" s="19" t="str">
        <x:v>미정</x:v>
      </x:c>
      <x:c r="T58" s="19" t="str"/>
      <x:c r="U58" s="21"/>
      <x:c r="V58" s="21"/>
      <x:c r="W58" s="22" t="n">
        <x:v>0</x:v>
      </x:c>
      <x:c r="X58" s="22" t="n">
        <x:v>0</x:v>
      </x:c>
      <x:c r="Y58" s="20" t="str"/>
      <x:c r="Z58" s="17" t="str">
        <x:v>https://www.kyobo.com/dgt/web/dtm/cs/ub/PCSUBNL7000</x:v>
      </x:c>
    </x:row>
    <x:row r="59" ht="38" customHeight="1">
      <x:c r="A59" s="16" t="n">
        <x:v>54</x:v>
      </x:c>
      <x:c r="B59" s="16" t="str">
        <x:v>확장 40</x:v>
      </x:c>
      <x:c r="C59" s="16" t="str">
        <x:v>9월 2주</x:v>
      </x:c>
      <x:c r="D59" s="16" t="str">
        <x:v>부천</x:v>
      </x:c>
      <x:c r="E59" s="16" t="str">
        <x:v>부천 한화생명빌딩</x:v>
      </x:c>
      <x:c r="F59" s="16" t="str">
        <x:v>손해</x:v>
      </x:c>
      <x:c r="G59" s="16" t="str">
        <x:v>DB손해보험</x:v>
      </x:c>
      <x:c r="H59" s="16" t="str">
        <x:v>PA</x:v>
      </x:c>
      <x:c r="I59" s="16" t="str">
        <x:v>부천지점</x:v>
      </x:c>
      <x:c r="J59" s="17" t="str">
        <x:v>경기 부천시 원미구 신흥로 179 14층 부천지점 (중동, 한화생명빌딩)</x:v>
      </x:c>
      <x:c r="K59" s="16" t="str">
        <x:v>032-222-5738</x:v>
      </x:c>
      <x:c r="L59" s="18" t="n">
        <x:v>4</x:v>
      </x:c>
      <x:c r="M59" s="18" t="n">
        <x:v>5</x:v>
      </x:c>
      <x:c r="N59" s="18" t="n">
        <x:v>5</x:v>
      </x:c>
      <x:c r="O59" s="18" t="n">
        <x:v>4</x:v>
      </x:c>
      <x:c r="P59" s="18" t="n">
        <x:f>ROUND((L59*30+M59*35+N59*20+O59*15)/5,0)</x:f>
        <x:v>91</x:v>
      </x:c>
      <x:c r="Q59" s="17" t="str">
        <x:v>지점 대표번호로 지점장·팀장 연결 요청 → 15분 시연·사용성 인터뷰 일정 확정</x:v>
      </x:c>
      <x:c r="R59" s="19" t="str">
        <x:v>미연락</x:v>
      </x:c>
      <x:c r="S59" s="19" t="str">
        <x:v>미정</x:v>
      </x:c>
      <x:c r="T59" s="19" t="str"/>
      <x:c r="U59" s="21"/>
      <x:c r="V59" s="21"/>
      <x:c r="W59" s="22" t="n">
        <x:v>0</x:v>
      </x:c>
      <x:c r="X59" s="22" t="n">
        <x:v>0</x:v>
      </x:c>
      <x:c r="Y59" s="20" t="str"/>
      <x:c r="Z59" s="17" t="str">
        <x:v>https://www.idbins.com/FWCUSP1331.do</x:v>
      </x:c>
    </x:row>
    <x:row r="60" ht="38" customHeight="1">
      <x:c r="A60" s="16" t="n">
        <x:v>55</x:v>
      </x:c>
      <x:c r="B60" s="16" t="str">
        <x:v>확장 40</x:v>
      </x:c>
      <x:c r="C60" s="16" t="str">
        <x:v>9월 2주</x:v>
      </x:c>
      <x:c r="D60" s="16" t="str">
        <x:v>부천</x:v>
      </x:c>
      <x:c r="E60" s="16" t="str">
        <x:v>부천 한화생명빌딩</x:v>
      </x:c>
      <x:c r="F60" s="16" t="str">
        <x:v>손해</x:v>
      </x:c>
      <x:c r="G60" s="16" t="str">
        <x:v>DB손해보험</x:v>
      </x:c>
      <x:c r="H60" s="16" t="str">
        <x:v>PA</x:v>
      </x:c>
      <x:c r="I60" s="16" t="str">
        <x:v>신중동지점</x:v>
      </x:c>
      <x:c r="J60" s="17" t="str">
        <x:v>경기 부천시 원미구 신흥로 179 14층 신중동지점 (중동, 한화생명빌딩)</x:v>
      </x:c>
      <x:c r="K60" s="16" t="str">
        <x:v>032-222-5722</x:v>
      </x:c>
      <x:c r="L60" s="18" t="n">
        <x:v>4</x:v>
      </x:c>
      <x:c r="M60" s="18" t="n">
        <x:v>5</x:v>
      </x:c>
      <x:c r="N60" s="18" t="n">
        <x:v>5</x:v>
      </x:c>
      <x:c r="O60" s="18" t="n">
        <x:v>4</x:v>
      </x:c>
      <x:c r="P60" s="18" t="n">
        <x:f>ROUND((L60*30+M60*35+N60*20+O60*15)/5,0)</x:f>
        <x:v>91</x:v>
      </x:c>
      <x:c r="Q60" s="17" t="str">
        <x:v>지점 대표번호로 지점장·팀장 연결 요청 → 15분 시연·사용성 인터뷰 일정 확정</x:v>
      </x:c>
      <x:c r="R60" s="19" t="str">
        <x:v>미연락</x:v>
      </x:c>
      <x:c r="S60" s="19" t="str">
        <x:v>미정</x:v>
      </x:c>
      <x:c r="T60" s="19" t="str"/>
      <x:c r="U60" s="21"/>
      <x:c r="V60" s="21"/>
      <x:c r="W60" s="22" t="n">
        <x:v>0</x:v>
      </x:c>
      <x:c r="X60" s="22" t="n">
        <x:v>0</x:v>
      </x:c>
      <x:c r="Y60" s="20" t="str"/>
      <x:c r="Z60" s="17" t="str">
        <x:v>https://www.idbins.com/FWCUSP1331.do</x:v>
      </x:c>
    </x:row>
    <x:row r="61" ht="38" customHeight="1">
      <x:c r="A61" s="16" t="n">
        <x:v>56</x:v>
      </x:c>
      <x:c r="B61" s="16" t="str">
        <x:v>확장 40</x:v>
      </x:c>
      <x:c r="C61" s="16" t="str">
        <x:v>9월 2주</x:v>
      </x:c>
      <x:c r="D61" s="16" t="str">
        <x:v>안양</x:v>
      </x:c>
      <x:c r="E61" s="16" t="str">
        <x:v>DB손해보험 안양사옥</x:v>
      </x:c>
      <x:c r="F61" s="16" t="str">
        <x:v>손해</x:v>
      </x:c>
      <x:c r="G61" s="16" t="str">
        <x:v>DB손해보험</x:v>
      </x:c>
      <x:c r="H61" s="16" t="str">
        <x:v>PA</x:v>
      </x:c>
      <x:c r="I61" s="16" t="str">
        <x:v>안양지점</x:v>
      </x:c>
      <x:c r="J61" s="17" t="str">
        <x:v>경기 안양시 만안구 안양로 119 5층 DB손해보험 (안양동, 계양빌딩)</x:v>
      </x:c>
      <x:c r="K61" s="16" t="str">
        <x:v>031-463-6120</x:v>
      </x:c>
      <x:c r="L61" s="18" t="n">
        <x:v>3</x:v>
      </x:c>
      <x:c r="M61" s="18" t="n">
        <x:v>5</x:v>
      </x:c>
      <x:c r="N61" s="18" t="n">
        <x:v>5</x:v>
      </x:c>
      <x:c r="O61" s="18" t="n">
        <x:v>3</x:v>
      </x:c>
      <x:c r="P61" s="18" t="n">
        <x:f>ROUND((L61*30+M61*35+N61*20+O61*15)/5,0)</x:f>
        <x:v>82</x:v>
      </x:c>
      <x:c r="Q61" s="17" t="str">
        <x:v>지점 대표번호로 지점장·팀장 연결 요청 → 15분 시연·사용성 인터뷰 일정 확정</x:v>
      </x:c>
      <x:c r="R61" s="19" t="str">
        <x:v>미연락</x:v>
      </x:c>
      <x:c r="S61" s="19" t="str">
        <x:v>미정</x:v>
      </x:c>
      <x:c r="T61" s="19" t="str"/>
      <x:c r="U61" s="21"/>
      <x:c r="V61" s="21"/>
      <x:c r="W61" s="22" t="n">
        <x:v>0</x:v>
      </x:c>
      <x:c r="X61" s="22" t="n">
        <x:v>0</x:v>
      </x:c>
      <x:c r="Y61" s="20" t="str"/>
      <x:c r="Z61" s="17" t="str">
        <x:v>https://www.idbins.com/FWCUSP1331.do</x:v>
      </x:c>
    </x:row>
    <x:row r="62" ht="38" customHeight="1">
      <x:c r="A62" s="16" t="n">
        <x:v>57</x:v>
      </x:c>
      <x:c r="B62" s="16" t="str">
        <x:v>확장 40</x:v>
      </x:c>
      <x:c r="C62" s="16" t="str">
        <x:v>10월 1주</x:v>
      </x:c>
      <x:c r="D62" s="16" t="str">
        <x:v>대전·천안</x:v>
      </x:c>
      <x:c r="E62" s="16" t="str">
        <x:v>교보생명 대전사옥</x:v>
      </x:c>
      <x:c r="F62" s="16" t="str">
        <x:v>생명</x:v>
      </x:c>
      <x:c r="G62" s="16" t="str">
        <x:v>교보생명</x:v>
      </x:c>
      <x:c r="H62" s="16" t="str">
        <x:v>FP</x:v>
      </x:c>
      <x:c r="I62" s="16" t="str">
        <x:v>대전FP</x:v>
      </x:c>
      <x:c r="J62" s="17" t="str">
        <x:v>대전 중구 중앙로 69 6층 대전FP지점 (선화동, 교보생명빌딩)</x:v>
      </x:c>
      <x:c r="K62" s="16" t="str">
        <x:v>042-229-5587</x:v>
      </x:c>
      <x:c r="L62" s="18" t="n">
        <x:v>3</x:v>
      </x:c>
      <x:c r="M62" s="18" t="n">
        <x:v>5</x:v>
      </x:c>
      <x:c r="N62" s="18" t="n">
        <x:v>5</x:v>
      </x:c>
      <x:c r="O62" s="18" t="n">
        <x:v>1</x:v>
      </x:c>
      <x:c r="P62" s="18" t="n">
        <x:f>ROUND((L62*30+M62*35+N62*20+O62*15)/5,0)</x:f>
        <x:v>76</x:v>
      </x:c>
      <x:c r="Q62" s="17" t="str">
        <x:v>같은 권역 2곳 이상 일정 확정 후 KTX·항공 이동 → 1명은 심층 인터뷰, 나머지는 15분 시연</x:v>
      </x:c>
      <x:c r="R62" s="19" t="str">
        <x:v>미연락</x:v>
      </x:c>
      <x:c r="S62" s="19" t="str">
        <x:v>미정</x:v>
      </x:c>
      <x:c r="T62" s="19" t="str"/>
      <x:c r="U62" s="21"/>
      <x:c r="V62" s="21"/>
      <x:c r="W62" s="22" t="n">
        <x:v>0</x:v>
      </x:c>
      <x:c r="X62" s="22" t="n">
        <x:v>0</x:v>
      </x:c>
      <x:c r="Y62" s="20" t="str"/>
      <x:c r="Z62" s="17" t="str">
        <x:v>https://www.kyobo.com/dgt/web/dtm/cs/ub/PCSUBNL7000</x:v>
      </x:c>
    </x:row>
    <x:row r="63" ht="38" customHeight="1">
      <x:c r="A63" s="16" t="n">
        <x:v>58</x:v>
      </x:c>
      <x:c r="B63" s="16" t="str">
        <x:v>확장 40</x:v>
      </x:c>
      <x:c r="C63" s="16" t="str">
        <x:v>10월 1주</x:v>
      </x:c>
      <x:c r="D63" s="16" t="str">
        <x:v>대전·천안</x:v>
      </x:c>
      <x:c r="E63" s="16" t="str">
        <x:v>대전 오라클빌딩</x:v>
      </x:c>
      <x:c r="F63" s="16" t="str">
        <x:v>손해</x:v>
      </x:c>
      <x:c r="G63" s="16" t="str">
        <x:v>DB손해보험</x:v>
      </x:c>
      <x:c r="H63" s="16" t="str">
        <x:v>PA</x:v>
      </x:c>
      <x:c r="I63" s="16" t="str">
        <x:v>대덕지점</x:v>
      </x:c>
      <x:c r="J63" s="17" t="str">
        <x:v>대전 서구 대덕대로 182 9층 (둔산동, 오라클빌딩)</x:v>
      </x:c>
      <x:c r="K63" s="16" t="str">
        <x:v>042-600-7170</x:v>
      </x:c>
      <x:c r="L63" s="18" t="n">
        <x:v>4</x:v>
      </x:c>
      <x:c r="M63" s="18" t="n">
        <x:v>5</x:v>
      </x:c>
      <x:c r="N63" s="18" t="n">
        <x:v>5</x:v>
      </x:c>
      <x:c r="O63" s="18" t="n">
        <x:v>1</x:v>
      </x:c>
      <x:c r="P63" s="18" t="n">
        <x:f>ROUND((L63*30+M63*35+N63*20+O63*15)/5,0)</x:f>
        <x:v>82</x:v>
      </x:c>
      <x:c r="Q63" s="17" t="str">
        <x:v>같은 권역 2곳 이상 일정 확정 후 KTX·항공 이동 → 1명은 심층 인터뷰, 나머지는 15분 시연</x:v>
      </x:c>
      <x:c r="R63" s="19" t="str">
        <x:v>미연락</x:v>
      </x:c>
      <x:c r="S63" s="19" t="str">
        <x:v>미정</x:v>
      </x:c>
      <x:c r="T63" s="19" t="str"/>
      <x:c r="U63" s="21"/>
      <x:c r="V63" s="21"/>
      <x:c r="W63" s="22" t="n">
        <x:v>0</x:v>
      </x:c>
      <x:c r="X63" s="22" t="n">
        <x:v>0</x:v>
      </x:c>
      <x:c r="Y63" s="20" t="str"/>
      <x:c r="Z63" s="17" t="str">
        <x:v>https://www.idbins.com/FWCUSP1331.do</x:v>
      </x:c>
    </x:row>
    <x:row r="64" ht="38" customHeight="1">
      <x:c r="A64" s="16" t="n">
        <x:v>59</x:v>
      </x:c>
      <x:c r="B64" s="16" t="str">
        <x:v>확장 40</x:v>
      </x:c>
      <x:c r="C64" s="16" t="str">
        <x:v>10월 1주</x:v>
      </x:c>
      <x:c r="D64" s="16" t="str">
        <x:v>대전·천안</x:v>
      </x:c>
      <x:c r="E64" s="16" t="str">
        <x:v>대전 오라클빌딩</x:v>
      </x:c>
      <x:c r="F64" s="16" t="str">
        <x:v>손해</x:v>
      </x:c>
      <x:c r="G64" s="16" t="str">
        <x:v>DB손해보험</x:v>
      </x:c>
      <x:c r="H64" s="16" t="str">
        <x:v>PA</x:v>
      </x:c>
      <x:c r="I64" s="16" t="str">
        <x:v>둔산지점</x:v>
      </x:c>
      <x:c r="J64" s="17" t="str">
        <x:v>대전 서구 대덕대로 182 9층 (둔산동, 오라클빌딩)</x:v>
      </x:c>
      <x:c r="K64" s="16" t="str">
        <x:v>042-600-7154</x:v>
      </x:c>
      <x:c r="L64" s="18" t="n">
        <x:v>4</x:v>
      </x:c>
      <x:c r="M64" s="18" t="n">
        <x:v>5</x:v>
      </x:c>
      <x:c r="N64" s="18" t="n">
        <x:v>5</x:v>
      </x:c>
      <x:c r="O64" s="18" t="n">
        <x:v>1</x:v>
      </x:c>
      <x:c r="P64" s="18" t="n">
        <x:f>ROUND((L64*30+M64*35+N64*20+O64*15)/5,0)</x:f>
        <x:v>82</x:v>
      </x:c>
      <x:c r="Q64" s="17" t="str">
        <x:v>같은 권역 2곳 이상 일정 확정 후 KTX·항공 이동 → 1명은 심층 인터뷰, 나머지는 15분 시연</x:v>
      </x:c>
      <x:c r="R64" s="19" t="str">
        <x:v>미연락</x:v>
      </x:c>
      <x:c r="S64" s="19" t="str">
        <x:v>미정</x:v>
      </x:c>
      <x:c r="T64" s="19" t="str"/>
      <x:c r="U64" s="21"/>
      <x:c r="V64" s="21"/>
      <x:c r="W64" s="22" t="n">
        <x:v>0</x:v>
      </x:c>
      <x:c r="X64" s="22" t="n">
        <x:v>0</x:v>
      </x:c>
      <x:c r="Y64" s="20" t="str"/>
      <x:c r="Z64" s="17" t="str">
        <x:v>https://www.idbins.com/FWCUSP1331.do</x:v>
      </x:c>
    </x:row>
    <x:row r="65" ht="38" customHeight="1">
      <x:c r="A65" s="16" t="n">
        <x:v>60</x:v>
      </x:c>
      <x:c r="B65" s="16" t="str">
        <x:v>확장 40</x:v>
      </x:c>
      <x:c r="C65" s="16" t="str">
        <x:v>10월 1주</x:v>
      </x:c>
      <x:c r="D65" s="16" t="str">
        <x:v>대전·천안</x:v>
      </x:c>
      <x:c r="E65" s="16" t="str">
        <x:v>교보생명 천안사옥</x:v>
      </x:c>
      <x:c r="F65" s="16" t="str">
        <x:v>생명</x:v>
      </x:c>
      <x:c r="G65" s="16" t="str">
        <x:v>교보생명</x:v>
      </x:c>
      <x:c r="H65" s="16" t="str">
        <x:v>FP</x:v>
      </x:c>
      <x:c r="I65" s="16" t="str">
        <x:v>천안FP</x:v>
      </x:c>
      <x:c r="J65" s="17" t="str">
        <x:v>충남 천안시 동남구 충절로 138 3층 천안FP지점 (원성동)</x:v>
      </x:c>
      <x:c r="K65" s="16" t="str">
        <x:v>041-564-6262</x:v>
      </x:c>
      <x:c r="L65" s="18" t="n">
        <x:v>3</x:v>
      </x:c>
      <x:c r="M65" s="18" t="n">
        <x:v>5</x:v>
      </x:c>
      <x:c r="N65" s="18" t="n">
        <x:v>5</x:v>
      </x:c>
      <x:c r="O65" s="18" t="n">
        <x:v>1</x:v>
      </x:c>
      <x:c r="P65" s="18" t="n">
        <x:f>ROUND((L65*30+M65*35+N65*20+O65*15)/5,0)</x:f>
        <x:v>76</x:v>
      </x:c>
      <x:c r="Q65" s="17" t="str">
        <x:v>같은 권역 2곳 이상 일정 확정 후 KTX·항공 이동 → 1명은 심층 인터뷰, 나머지는 15분 시연</x:v>
      </x:c>
      <x:c r="R65" s="19" t="str">
        <x:v>미연락</x:v>
      </x:c>
      <x:c r="S65" s="19" t="str">
        <x:v>미정</x:v>
      </x:c>
      <x:c r="T65" s="19" t="str"/>
      <x:c r="U65" s="21"/>
      <x:c r="V65" s="21"/>
      <x:c r="W65" s="22" t="n">
        <x:v>0</x:v>
      </x:c>
      <x:c r="X65" s="22" t="n">
        <x:v>0</x:v>
      </x:c>
      <x:c r="Y65" s="20" t="str"/>
      <x:c r="Z65" s="17" t="str">
        <x:v>https://www.kyobo.com/dgt/web/dtm/cs/ub/PCSUBNL7000</x:v>
      </x:c>
    </x:row>
    <x:row r="66" ht="38" customHeight="1">
      <x:c r="A66" s="16" t="n">
        <x:v>61</x:v>
      </x:c>
      <x:c r="B66" s="16" t="str">
        <x:v>확장 40</x:v>
      </x:c>
      <x:c r="C66" s="16" t="str">
        <x:v>10월 2주</x:v>
      </x:c>
      <x:c r="D66" s="16" t="str">
        <x:v>부산</x:v>
      </x:c>
      <x:c r="E66" s="16" t="str">
        <x:v>교보생명 부전동사옥</x:v>
      </x:c>
      <x:c r="F66" s="16" t="str">
        <x:v>생명</x:v>
      </x:c>
      <x:c r="G66" s="16" t="str">
        <x:v>교보생명</x:v>
      </x:c>
      <x:c r="H66" s="16" t="str">
        <x:v>FP</x:v>
      </x:c>
      <x:c r="I66" s="16" t="str">
        <x:v>경성FP</x:v>
      </x:c>
      <x:c r="J66" s="17" t="str">
        <x:v>부산 부산진구 중앙대로 658 3층 경성FP지점 (부전동, 교보생명빌딩)</x:v>
      </x:c>
      <x:c r="K66" s="16" t="str">
        <x:v>051-811-7199</x:v>
      </x:c>
      <x:c r="L66" s="18" t="n">
        <x:v>4</x:v>
      </x:c>
      <x:c r="M66" s="18" t="n">
        <x:v>5</x:v>
      </x:c>
      <x:c r="N66" s="18" t="n">
        <x:v>5</x:v>
      </x:c>
      <x:c r="O66" s="18" t="n">
        <x:v>1</x:v>
      </x:c>
      <x:c r="P66" s="18" t="n">
        <x:f>ROUND((L66*30+M66*35+N66*20+O66*15)/5,0)</x:f>
        <x:v>82</x:v>
      </x:c>
      <x:c r="Q66" s="17" t="str">
        <x:v>같은 권역 2곳 이상 일정 확정 후 KTX·항공 이동 → 1명은 심층 인터뷰, 나머지는 15분 시연</x:v>
      </x:c>
      <x:c r="R66" s="19" t="str">
        <x:v>미연락</x:v>
      </x:c>
      <x:c r="S66" s="19" t="str">
        <x:v>미정</x:v>
      </x:c>
      <x:c r="T66" s="19" t="str"/>
      <x:c r="U66" s="21"/>
      <x:c r="V66" s="21"/>
      <x:c r="W66" s="22" t="n">
        <x:v>0</x:v>
      </x:c>
      <x:c r="X66" s="22" t="n">
        <x:v>0</x:v>
      </x:c>
      <x:c r="Y66" s="20" t="str"/>
      <x:c r="Z66" s="17" t="str">
        <x:v>https://www.kyobo.com/dgt/web/dtm/cs/ub/PCSUBNL7000</x:v>
      </x:c>
    </x:row>
    <x:row r="67" ht="38" customHeight="1">
      <x:c r="A67" s="16" t="n">
        <x:v>62</x:v>
      </x:c>
      <x:c r="B67" s="16" t="str">
        <x:v>확장 40</x:v>
      </x:c>
      <x:c r="C67" s="16" t="str">
        <x:v>10월 2주</x:v>
      </x:c>
      <x:c r="D67" s="16" t="str">
        <x:v>부산</x:v>
      </x:c>
      <x:c r="E67" s="16" t="str">
        <x:v>교보생명 부전동사옥</x:v>
      </x:c>
      <x:c r="F67" s="16" t="str">
        <x:v>생명</x:v>
      </x:c>
      <x:c r="G67" s="16" t="str">
        <x:v>교보생명</x:v>
      </x:c>
      <x:c r="H67" s="16" t="str">
        <x:v>FP</x:v>
      </x:c>
      <x:c r="I67" s="16" t="str">
        <x:v>남부산FP</x:v>
      </x:c>
      <x:c r="J67" s="17" t="str">
        <x:v>부산 부산진구 중앙대로 658 4층 남부산FP지점 (부전동, 교보생명빌딩)</x:v>
      </x:c>
      <x:c r="K67" s="16" t="str">
        <x:v>051-811-7129</x:v>
      </x:c>
      <x:c r="L67" s="18" t="n">
        <x:v>4</x:v>
      </x:c>
      <x:c r="M67" s="18" t="n">
        <x:v>5</x:v>
      </x:c>
      <x:c r="N67" s="18" t="n">
        <x:v>5</x:v>
      </x:c>
      <x:c r="O67" s="18" t="n">
        <x:v>1</x:v>
      </x:c>
      <x:c r="P67" s="18" t="n">
        <x:f>ROUND((L67*30+M67*35+N67*20+O67*15)/5,0)</x:f>
        <x:v>82</x:v>
      </x:c>
      <x:c r="Q67" s="17" t="str">
        <x:v>같은 권역 2곳 이상 일정 확정 후 KTX·항공 이동 → 1명은 심층 인터뷰, 나머지는 15분 시연</x:v>
      </x:c>
      <x:c r="R67" s="19" t="str">
        <x:v>미연락</x:v>
      </x:c>
      <x:c r="S67" s="19" t="str">
        <x:v>미정</x:v>
      </x:c>
      <x:c r="T67" s="19" t="str"/>
      <x:c r="U67" s="21"/>
      <x:c r="V67" s="21"/>
      <x:c r="W67" s="22" t="n">
        <x:v>0</x:v>
      </x:c>
      <x:c r="X67" s="22" t="n">
        <x:v>0</x:v>
      </x:c>
      <x:c r="Y67" s="20" t="str"/>
      <x:c r="Z67" s="17" t="str">
        <x:v>https://www.kyobo.com/dgt/web/dtm/cs/ub/PCSUBNL7000</x:v>
      </x:c>
    </x:row>
    <x:row r="68" ht="38" customHeight="1">
      <x:c r="A68" s="16" t="n">
        <x:v>63</x:v>
      </x:c>
      <x:c r="B68" s="16" t="str">
        <x:v>확장 40</x:v>
      </x:c>
      <x:c r="C68" s="16" t="str">
        <x:v>10월 2주</x:v>
      </x:c>
      <x:c r="D68" s="16" t="str">
        <x:v>부산</x:v>
      </x:c>
      <x:c r="E68" s="16" t="str">
        <x:v>DB금융센터 부산</x:v>
      </x:c>
      <x:c r="F68" s="16" t="str">
        <x:v>손해</x:v>
      </x:c>
      <x:c r="G68" s="16" t="str">
        <x:v>DB손해보험</x:v>
      </x:c>
      <x:c r="H68" s="16" t="str">
        <x:v>PA</x:v>
      </x:c>
      <x:c r="I68" s="16" t="str">
        <x:v>부산중앙지점</x:v>
      </x:c>
      <x:c r="J68" s="17" t="str">
        <x:v>부산 부산진구 중앙대로 742 7층 부산중앙지점 (부전동, DB금융센터부산)</x:v>
      </x:c>
      <x:c r="K68" s="16" t="str">
        <x:v>051-460-4810</x:v>
      </x:c>
      <x:c r="L68" s="18" t="n">
        <x:v>3</x:v>
      </x:c>
      <x:c r="M68" s="18" t="n">
        <x:v>5</x:v>
      </x:c>
      <x:c r="N68" s="18" t="n">
        <x:v>5</x:v>
      </x:c>
      <x:c r="O68" s="18" t="n">
        <x:v>1</x:v>
      </x:c>
      <x:c r="P68" s="18" t="n">
        <x:f>ROUND((L68*30+M68*35+N68*20+O68*15)/5,0)</x:f>
        <x:v>76</x:v>
      </x:c>
      <x:c r="Q68" s="17" t="str">
        <x:v>같은 권역 2곳 이상 일정 확정 후 KTX·항공 이동 → 1명은 심층 인터뷰, 나머지는 15분 시연</x:v>
      </x:c>
      <x:c r="R68" s="19" t="str">
        <x:v>미연락</x:v>
      </x:c>
      <x:c r="S68" s="19" t="str">
        <x:v>미정</x:v>
      </x:c>
      <x:c r="T68" s="19" t="str"/>
      <x:c r="U68" s="21"/>
      <x:c r="V68" s="21"/>
      <x:c r="W68" s="22" t="n">
        <x:v>0</x:v>
      </x:c>
      <x:c r="X68" s="22" t="n">
        <x:v>0</x:v>
      </x:c>
      <x:c r="Y68" s="20" t="str"/>
      <x:c r="Z68" s="17" t="str">
        <x:v>https://www.idbins.com/FWCUSP1331.do</x:v>
      </x:c>
    </x:row>
    <x:row r="69" ht="38" customHeight="1">
      <x:c r="A69" s="16" t="n">
        <x:v>64</x:v>
      </x:c>
      <x:c r="B69" s="16" t="str">
        <x:v>확장 40</x:v>
      </x:c>
      <x:c r="C69" s="16" t="str">
        <x:v>10월 2주</x:v>
      </x:c>
      <x:c r="D69" s="16" t="str">
        <x:v>부산</x:v>
      </x:c>
      <x:c r="E69" s="16" t="str">
        <x:v>해운대 신세계프라자</x:v>
      </x:c>
      <x:c r="F69" s="16" t="str">
        <x:v>손해</x:v>
      </x:c>
      <x:c r="G69" s="16" t="str">
        <x:v>DB손해보험</x:v>
      </x:c>
      <x:c r="H69" s="16" t="str">
        <x:v>PA</x:v>
      </x:c>
      <x:c r="I69" s="16" t="str">
        <x:v>해운대지점</x:v>
      </x:c>
      <x:c r="J69" s="17" t="str">
        <x:v>부산 해운대구 해운대로 407 2층 (우동, 신세계프라자)</x:v>
      </x:c>
      <x:c r="K69" s="16" t="str">
        <x:v>051-620-0772</x:v>
      </x:c>
      <x:c r="L69" s="18" t="n">
        <x:v>3</x:v>
      </x:c>
      <x:c r="M69" s="18" t="n">
        <x:v>5</x:v>
      </x:c>
      <x:c r="N69" s="18" t="n">
        <x:v>5</x:v>
      </x:c>
      <x:c r="O69" s="18" t="n">
        <x:v>1</x:v>
      </x:c>
      <x:c r="P69" s="18" t="n">
        <x:f>ROUND((L69*30+M69*35+N69*20+O69*15)/5,0)</x:f>
        <x:v>76</x:v>
      </x:c>
      <x:c r="Q69" s="17" t="str">
        <x:v>같은 권역 2곳 이상 일정 확정 후 KTX·항공 이동 → 1명은 심층 인터뷰, 나머지는 15분 시연</x:v>
      </x:c>
      <x:c r="R69" s="19" t="str">
        <x:v>미연락</x:v>
      </x:c>
      <x:c r="S69" s="19" t="str">
        <x:v>미정</x:v>
      </x:c>
      <x:c r="T69" s="19" t="str"/>
      <x:c r="U69" s="21"/>
      <x:c r="V69" s="21"/>
      <x:c r="W69" s="22" t="n">
        <x:v>0</x:v>
      </x:c>
      <x:c r="X69" s="22" t="n">
        <x:v>0</x:v>
      </x:c>
      <x:c r="Y69" s="20" t="str"/>
      <x:c r="Z69" s="17" t="str">
        <x:v>https://www.idbins.com/FWCUSP1331.do</x:v>
      </x:c>
    </x:row>
    <x:row r="70" ht="38" customHeight="1">
      <x:c r="A70" s="16" t="n">
        <x:v>65</x:v>
      </x:c>
      <x:c r="B70" s="16" t="str">
        <x:v>확장 40</x:v>
      </x:c>
      <x:c r="C70" s="16" t="str">
        <x:v>10월 3주</x:v>
      </x:c>
      <x:c r="D70" s="16" t="str">
        <x:v>대구·포항</x:v>
      </x:c>
      <x:c r="E70" s="16" t="str">
        <x:v>교보생명 동성로사옥</x:v>
      </x:c>
      <x:c r="F70" s="16" t="str">
        <x:v>생명</x:v>
      </x:c>
      <x:c r="G70" s="16" t="str">
        <x:v>교보생명</x:v>
      </x:c>
      <x:c r="H70" s="16" t="str">
        <x:v>FP</x:v>
      </x:c>
      <x:c r="I70" s="16" t="str">
        <x:v>동성로FP</x:v>
      </x:c>
      <x:c r="J70" s="17" t="str">
        <x:v>대구 중구 국채보상로 586 6층 동성로FP지점 (동성로2가)</x:v>
      </x:c>
      <x:c r="K70" s="16" t="str">
        <x:v>053-430-3690</x:v>
      </x:c>
      <x:c r="L70" s="18" t="n">
        <x:v>3</x:v>
      </x:c>
      <x:c r="M70" s="18" t="n">
        <x:v>5</x:v>
      </x:c>
      <x:c r="N70" s="18" t="n">
        <x:v>5</x:v>
      </x:c>
      <x:c r="O70" s="18" t="n">
        <x:v>1</x:v>
      </x:c>
      <x:c r="P70" s="18" t="n">
        <x:f>ROUND((L70*30+M70*35+N70*20+O70*15)/5,0)</x:f>
        <x:v>76</x:v>
      </x:c>
      <x:c r="Q70" s="17" t="str">
        <x:v>같은 권역 2곳 이상 일정 확정 후 KTX·항공 이동 → 1명은 심층 인터뷰, 나머지는 15분 시연</x:v>
      </x:c>
      <x:c r="R70" s="19" t="str">
        <x:v>미연락</x:v>
      </x:c>
      <x:c r="S70" s="19" t="str">
        <x:v>미정</x:v>
      </x:c>
      <x:c r="T70" s="19" t="str"/>
      <x:c r="U70" s="21"/>
      <x:c r="V70" s="21"/>
      <x:c r="W70" s="22" t="n">
        <x:v>0</x:v>
      </x:c>
      <x:c r="X70" s="22" t="n">
        <x:v>0</x:v>
      </x:c>
      <x:c r="Y70" s="20" t="str"/>
      <x:c r="Z70" s="17" t="str">
        <x:v>https://www.kyobo.com/dgt/web/dtm/cs/ub/PCSUBNL7000</x:v>
      </x:c>
    </x:row>
    <x:row r="71" ht="38" customHeight="1">
      <x:c r="A71" s="16" t="n">
        <x:v>66</x:v>
      </x:c>
      <x:c r="B71" s="16" t="str">
        <x:v>확장 40</x:v>
      </x:c>
      <x:c r="C71" s="16" t="str">
        <x:v>10월 3주</x:v>
      </x:c>
      <x:c r="D71" s="16" t="str">
        <x:v>대구·포항</x:v>
      </x:c>
      <x:c r="E71" s="16" t="str">
        <x:v>KT대구지사</x:v>
      </x:c>
      <x:c r="F71" s="16" t="str">
        <x:v>손해</x:v>
      </x:c>
      <x:c r="G71" s="16" t="str">
        <x:v>DB손해보험</x:v>
      </x:c>
      <x:c r="H71" s="16" t="str">
        <x:v>PA</x:v>
      </x:c>
      <x:c r="I71" s="16" t="str">
        <x:v>대구지점</x:v>
      </x:c>
      <x:c r="J71" s="17" t="str">
        <x:v>대구 중구 동덕로 167 11층 (동인동2가, KT대구지사)</x:v>
      </x:c>
      <x:c r="K71" s="16" t="str">
        <x:v>053-430-5210</x:v>
      </x:c>
      <x:c r="L71" s="18" t="n">
        <x:v>3</x:v>
      </x:c>
      <x:c r="M71" s="18" t="n">
        <x:v>5</x:v>
      </x:c>
      <x:c r="N71" s="18" t="n">
        <x:v>5</x:v>
      </x:c>
      <x:c r="O71" s="18" t="n">
        <x:v>1</x:v>
      </x:c>
      <x:c r="P71" s="18" t="n">
        <x:f>ROUND((L71*30+M71*35+N71*20+O71*15)/5,0)</x:f>
        <x:v>76</x:v>
      </x:c>
      <x:c r="Q71" s="17" t="str">
        <x:v>같은 권역 2곳 이상 일정 확정 후 KTX·항공 이동 → 1명은 심층 인터뷰, 나머지는 15분 시연</x:v>
      </x:c>
      <x:c r="R71" s="19" t="str">
        <x:v>미연락</x:v>
      </x:c>
      <x:c r="S71" s="19" t="str">
        <x:v>미정</x:v>
      </x:c>
      <x:c r="T71" s="19" t="str"/>
      <x:c r="U71" s="21"/>
      <x:c r="V71" s="21"/>
      <x:c r="W71" s="22" t="n">
        <x:v>0</x:v>
      </x:c>
      <x:c r="X71" s="22" t="n">
        <x:v>0</x:v>
      </x:c>
      <x:c r="Y71" s="20" t="str"/>
      <x:c r="Z71" s="17" t="str">
        <x:v>https://www.idbins.com/FWCUSP1331.do</x:v>
      </x:c>
    </x:row>
    <x:row r="72" ht="38" customHeight="1">
      <x:c r="A72" s="16" t="n">
        <x:v>67</x:v>
      </x:c>
      <x:c r="B72" s="16" t="str">
        <x:v>확장 40</x:v>
      </x:c>
      <x:c r="C72" s="16" t="str">
        <x:v>10월 3주</x:v>
      </x:c>
      <x:c r="D72" s="16" t="str">
        <x:v>대구·포항</x:v>
      </x:c>
      <x:c r="E72" s="16" t="str">
        <x:v>교보생명 포항사옥</x:v>
      </x:c>
      <x:c r="F72" s="16" t="str">
        <x:v>생명</x:v>
      </x:c>
      <x:c r="G72" s="16" t="str">
        <x:v>교보생명</x:v>
      </x:c>
      <x:c r="H72" s="16" t="str">
        <x:v>FP</x:v>
      </x:c>
      <x:c r="I72" s="16" t="str">
        <x:v>대해FP</x:v>
      </x:c>
      <x:c r="J72" s="17" t="str">
        <x:v>경북 포항시 북구 중흥로 109 5층 대해FP지점 (죽도동, 교보생명빌딩)</x:v>
      </x:c>
      <x:c r="K72" s="16" t="str">
        <x:v>054-271-6220</x:v>
      </x:c>
      <x:c r="L72" s="18" t="n">
        <x:v>3</x:v>
      </x:c>
      <x:c r="M72" s="18" t="n">
        <x:v>5</x:v>
      </x:c>
      <x:c r="N72" s="18" t="n">
        <x:v>5</x:v>
      </x:c>
      <x:c r="O72" s="18" t="n">
        <x:v>1</x:v>
      </x:c>
      <x:c r="P72" s="18" t="n">
        <x:f>ROUND((L72*30+M72*35+N72*20+O72*15)/5,0)</x:f>
        <x:v>76</x:v>
      </x:c>
      <x:c r="Q72" s="17" t="str">
        <x:v>같은 권역 2곳 이상 일정 확정 후 KTX·항공 이동 → 1명은 심층 인터뷰, 나머지는 15분 시연</x:v>
      </x:c>
      <x:c r="R72" s="19" t="str">
        <x:v>미연락</x:v>
      </x:c>
      <x:c r="S72" s="19" t="str">
        <x:v>미정</x:v>
      </x:c>
      <x:c r="T72" s="19" t="str"/>
      <x:c r="U72" s="21"/>
      <x:c r="V72" s="21"/>
      <x:c r="W72" s="22" t="n">
        <x:v>0</x:v>
      </x:c>
      <x:c r="X72" s="22" t="n">
        <x:v>0</x:v>
      </x:c>
      <x:c r="Y72" s="20" t="str"/>
      <x:c r="Z72" s="17" t="str">
        <x:v>https://www.kyobo.com/dgt/web/dtm/cs/ub/PCSUBNL7000</x:v>
      </x:c>
    </x:row>
    <x:row r="73" ht="38" customHeight="1">
      <x:c r="A73" s="16" t="n">
        <x:v>68</x:v>
      </x:c>
      <x:c r="B73" s="16" t="str">
        <x:v>확장 40</x:v>
      </x:c>
      <x:c r="C73" s="16" t="str">
        <x:v>10월 3주</x:v>
      </x:c>
      <x:c r="D73" s="16" t="str">
        <x:v>대구·포항</x:v>
      </x:c>
      <x:c r="E73" s="16" t="str">
        <x:v>포항 산업은행빌딩</x:v>
      </x:c>
      <x:c r="F73" s="16" t="str">
        <x:v>손해</x:v>
      </x:c>
      <x:c r="G73" s="16" t="str">
        <x:v>DB손해보험</x:v>
      </x:c>
      <x:c r="H73" s="16" t="str">
        <x:v>PA</x:v>
      </x:c>
      <x:c r="I73" s="16" t="str">
        <x:v>포항지점</x:v>
      </x:c>
      <x:c r="J73" s="17" t="str">
        <x:v>경북 포항시 북구 중흥로 156 3층 (죽도동, 산업은행빌딩)</x:v>
      </x:c>
      <x:c r="K73" s="16" t="str">
        <x:v>054-271-4624</x:v>
      </x:c>
      <x:c r="L73" s="18" t="n">
        <x:v>3</x:v>
      </x:c>
      <x:c r="M73" s="18" t="n">
        <x:v>5</x:v>
      </x:c>
      <x:c r="N73" s="18" t="n">
        <x:v>5</x:v>
      </x:c>
      <x:c r="O73" s="18" t="n">
        <x:v>1</x:v>
      </x:c>
      <x:c r="P73" s="18" t="n">
        <x:f>ROUND((L73*30+M73*35+N73*20+O73*15)/5,0)</x:f>
        <x:v>76</x:v>
      </x:c>
      <x:c r="Q73" s="17" t="str">
        <x:v>같은 권역 2곳 이상 일정 확정 후 KTX·항공 이동 → 1명은 심층 인터뷰, 나머지는 15분 시연</x:v>
      </x:c>
      <x:c r="R73" s="19" t="str">
        <x:v>미연락</x:v>
      </x:c>
      <x:c r="S73" s="19" t="str">
        <x:v>미정</x:v>
      </x:c>
      <x:c r="T73" s="19" t="str"/>
      <x:c r="U73" s="21"/>
      <x:c r="V73" s="21"/>
      <x:c r="W73" s="22" t="n">
        <x:v>0</x:v>
      </x:c>
      <x:c r="X73" s="22" t="n">
        <x:v>0</x:v>
      </x:c>
      <x:c r="Y73" s="20" t="str"/>
      <x:c r="Z73" s="17" t="str">
        <x:v>https://www.idbins.com/FWCUSP1331.do</x:v>
      </x:c>
    </x:row>
    <x:row r="74" ht="38" customHeight="1">
      <x:c r="A74" s="16" t="n">
        <x:v>69</x:v>
      </x:c>
      <x:c r="B74" s="16" t="str">
        <x:v>확장 40</x:v>
      </x:c>
      <x:c r="C74" s="16" t="str">
        <x:v>11월 1주</x:v>
      </x:c>
      <x:c r="D74" s="16" t="str">
        <x:v>광주·전주</x:v>
      </x:c>
      <x:c r="E74" s="16" t="str">
        <x:v>광주 디오빌</x:v>
      </x:c>
      <x:c r="F74" s="16" t="str">
        <x:v>생명</x:v>
      </x:c>
      <x:c r="G74" s="16" t="str">
        <x:v>교보생명</x:v>
      </x:c>
      <x:c r="H74" s="16" t="str">
        <x:v>FP</x:v>
      </x:c>
      <x:c r="I74" s="16" t="str">
        <x:v>광주중앙FP</x:v>
      </x:c>
      <x:c r="J74" s="17" t="str">
        <x:v>광주 서구 시청로 41 3층 광주중앙FP지점 (치평동, 디오빌)</x:v>
      </x:c>
      <x:c r="K74" s="16" t="str">
        <x:v>062-513-6059</x:v>
      </x:c>
      <x:c r="L74" s="18" t="n">
        <x:v>3</x:v>
      </x:c>
      <x:c r="M74" s="18" t="n">
        <x:v>5</x:v>
      </x:c>
      <x:c r="N74" s="18" t="n">
        <x:v>5</x:v>
      </x:c>
      <x:c r="O74" s="18" t="n">
        <x:v>1</x:v>
      </x:c>
      <x:c r="P74" s="18" t="n">
        <x:f>ROUND((L74*30+M74*35+N74*20+O74*15)/5,0)</x:f>
        <x:v>76</x:v>
      </x:c>
      <x:c r="Q74" s="17" t="str">
        <x:v>같은 권역 2곳 이상 일정 확정 후 KTX·항공 이동 → 1명은 심층 인터뷰, 나머지는 15분 시연</x:v>
      </x:c>
      <x:c r="R74" s="19" t="str">
        <x:v>미연락</x:v>
      </x:c>
      <x:c r="S74" s="19" t="str">
        <x:v>미정</x:v>
      </x:c>
      <x:c r="T74" s="19" t="str"/>
      <x:c r="U74" s="21"/>
      <x:c r="V74" s="21"/>
      <x:c r="W74" s="22" t="n">
        <x:v>0</x:v>
      </x:c>
      <x:c r="X74" s="22" t="n">
        <x:v>0</x:v>
      </x:c>
      <x:c r="Y74" s="20" t="str"/>
      <x:c r="Z74" s="17" t="str">
        <x:v>https://www.kyobo.com/dgt/web/dtm/cs/ub/PCSUBNL7000</x:v>
      </x:c>
    </x:row>
    <x:row r="75" ht="38" customHeight="1">
      <x:c r="A75" s="16" t="n">
        <x:v>70</x:v>
      </x:c>
      <x:c r="B75" s="16" t="str">
        <x:v>확장 40</x:v>
      </x:c>
      <x:c r="C75" s="16" t="str">
        <x:v>11월 1주</x:v>
      </x:c>
      <x:c r="D75" s="16" t="str">
        <x:v>광주·전주</x:v>
      </x:c>
      <x:c r="E75" s="16" t="str">
        <x:v>광주 오션5빌딩</x:v>
      </x:c>
      <x:c r="F75" s="16" t="str">
        <x:v>손해</x:v>
      </x:c>
      <x:c r="G75" s="16" t="str">
        <x:v>DB손해보험</x:v>
      </x:c>
      <x:c r="H75" s="16" t="str">
        <x:v>PA</x:v>
      </x:c>
      <x:c r="I75" s="16" t="str">
        <x:v>광주서부지점</x:v>
      </x:c>
      <x:c r="J75" s="17" t="str">
        <x:v>광주 서구 상무중앙로 42 4층 광주서부지점 (치평동, 오션5빌딩)</x:v>
      </x:c>
      <x:c r="K75" s="16" t="str">
        <x:v>062-370-7521</x:v>
      </x:c>
      <x:c r="L75" s="18" t="n">
        <x:v>3</x:v>
      </x:c>
      <x:c r="M75" s="18" t="n">
        <x:v>5</x:v>
      </x:c>
      <x:c r="N75" s="18" t="n">
        <x:v>5</x:v>
      </x:c>
      <x:c r="O75" s="18" t="n">
        <x:v>1</x:v>
      </x:c>
      <x:c r="P75" s="18" t="n">
        <x:f>ROUND((L75*30+M75*35+N75*20+O75*15)/5,0)</x:f>
        <x:v>76</x:v>
      </x:c>
      <x:c r="Q75" s="17" t="str">
        <x:v>같은 권역 2곳 이상 일정 확정 후 KTX·항공 이동 → 1명은 심층 인터뷰, 나머지는 15분 시연</x:v>
      </x:c>
      <x:c r="R75" s="19" t="str">
        <x:v>미연락</x:v>
      </x:c>
      <x:c r="S75" s="19" t="str">
        <x:v>미정</x:v>
      </x:c>
      <x:c r="T75" s="19" t="str"/>
      <x:c r="U75" s="21"/>
      <x:c r="V75" s="21"/>
      <x:c r="W75" s="22" t="n">
        <x:v>0</x:v>
      </x:c>
      <x:c r="X75" s="22" t="n">
        <x:v>0</x:v>
      </x:c>
      <x:c r="Y75" s="20" t="str"/>
      <x:c r="Z75" s="17" t="str">
        <x:v>https://www.idbins.com/FWCUSP1331.do</x:v>
      </x:c>
    </x:row>
    <x:row r="76" ht="38" customHeight="1">
      <x:c r="A76" s="16" t="n">
        <x:v>71</x:v>
      </x:c>
      <x:c r="B76" s="16" t="str">
        <x:v>확장 40</x:v>
      </x:c>
      <x:c r="C76" s="16" t="str">
        <x:v>11월 1주</x:v>
      </x:c>
      <x:c r="D76" s="16" t="str">
        <x:v>광주·전주</x:v>
      </x:c>
      <x:c r="E76" s="16" t="str">
        <x:v>교보생명 전주사옥</x:v>
      </x:c>
      <x:c r="F76" s="16" t="str">
        <x:v>생명</x:v>
      </x:c>
      <x:c r="G76" s="16" t="str">
        <x:v>교보생명</x:v>
      </x:c>
      <x:c r="H76" s="16" t="str">
        <x:v>FP</x:v>
      </x:c>
      <x:c r="I76" s="16" t="str">
        <x:v>전주중앙FP</x:v>
      </x:c>
      <x:c r="J76" s="17" t="str">
        <x:v>전북 전주시 덕진구 기린대로 389 6층 전주중앙FP지점 (금암동, 교보생명빌딩)</x:v>
      </x:c>
      <x:c r="K76" s="16" t="str">
        <x:v>063-259-5022</x:v>
      </x:c>
      <x:c r="L76" s="18" t="n">
        <x:v>3</x:v>
      </x:c>
      <x:c r="M76" s="18" t="n">
        <x:v>5</x:v>
      </x:c>
      <x:c r="N76" s="18" t="n">
        <x:v>5</x:v>
      </x:c>
      <x:c r="O76" s="18" t="n">
        <x:v>1</x:v>
      </x:c>
      <x:c r="P76" s="18" t="n">
        <x:f>ROUND((L76*30+M76*35+N76*20+O76*15)/5,0)</x:f>
        <x:v>76</x:v>
      </x:c>
      <x:c r="Q76" s="17" t="str">
        <x:v>같은 권역 2곳 이상 일정 확정 후 KTX·항공 이동 → 1명은 심층 인터뷰, 나머지는 15분 시연</x:v>
      </x:c>
      <x:c r="R76" s="19" t="str">
        <x:v>미연락</x:v>
      </x:c>
      <x:c r="S76" s="19" t="str">
        <x:v>미정</x:v>
      </x:c>
      <x:c r="T76" s="19" t="str"/>
      <x:c r="U76" s="21"/>
      <x:c r="V76" s="21"/>
      <x:c r="W76" s="22" t="n">
        <x:v>0</x:v>
      </x:c>
      <x:c r="X76" s="22" t="n">
        <x:v>0</x:v>
      </x:c>
      <x:c r="Y76" s="20" t="str"/>
      <x:c r="Z76" s="17" t="str">
        <x:v>https://www.kyobo.com/dgt/web/dtm/cs/ub/PCSUBNL7000</x:v>
      </x:c>
    </x:row>
    <x:row r="77" ht="38" customHeight="1">
      <x:c r="A77" s="16" t="n">
        <x:v>72</x:v>
      </x:c>
      <x:c r="B77" s="16" t="str">
        <x:v>확장 40</x:v>
      </x:c>
      <x:c r="C77" s="16" t="str">
        <x:v>11월 1주</x:v>
      </x:c>
      <x:c r="D77" s="16" t="str">
        <x:v>광주·전주</x:v>
      </x:c>
      <x:c r="E77" s="16" t="str">
        <x:v>전주 대우빌딩</x:v>
      </x:c>
      <x:c r="F77" s="16" t="str">
        <x:v>손해</x:v>
      </x:c>
      <x:c r="G77" s="16" t="str">
        <x:v>DB손해보험</x:v>
      </x:c>
      <x:c r="H77" s="16" t="str">
        <x:v>PA</x:v>
      </x:c>
      <x:c r="I77" s="16" t="str">
        <x:v>남전주지점</x:v>
      </x:c>
      <x:c r="J77" s="17" t="str">
        <x:v>전북 전주시 완산구 기린대로 213 11층 (서노송동, 대우빌딩)</x:v>
      </x:c>
      <x:c r="K77" s="16" t="str">
        <x:v>063-230-4012</x:v>
      </x:c>
      <x:c r="L77" s="18" t="n">
        <x:v>3</x:v>
      </x:c>
      <x:c r="M77" s="18" t="n">
        <x:v>5</x:v>
      </x:c>
      <x:c r="N77" s="18" t="n">
        <x:v>5</x:v>
      </x:c>
      <x:c r="O77" s="18" t="n">
        <x:v>1</x:v>
      </x:c>
      <x:c r="P77" s="18" t="n">
        <x:f>ROUND((L77*30+M77*35+N77*20+O77*15)/5,0)</x:f>
        <x:v>76</x:v>
      </x:c>
      <x:c r="Q77" s="17" t="str">
        <x:v>같은 권역 2곳 이상 일정 확정 후 KTX·항공 이동 → 1명은 심층 인터뷰, 나머지는 15분 시연</x:v>
      </x:c>
      <x:c r="R77" s="19" t="str">
        <x:v>미연락</x:v>
      </x:c>
      <x:c r="S77" s="19" t="str">
        <x:v>미정</x:v>
      </x:c>
      <x:c r="T77" s="19" t="str"/>
      <x:c r="U77" s="21"/>
      <x:c r="V77" s="21"/>
      <x:c r="W77" s="22" t="n">
        <x:v>0</x:v>
      </x:c>
      <x:c r="X77" s="22" t="n">
        <x:v>0</x:v>
      </x:c>
      <x:c r="Y77" s="20" t="str"/>
      <x:c r="Z77" s="17" t="str">
        <x:v>https://www.idbins.com/FWCUSP1331.do</x:v>
      </x:c>
    </x:row>
    <x:row r="78" ht="38" customHeight="1">
      <x:c r="A78" s="16" t="n">
        <x:v>73</x:v>
      </x:c>
      <x:c r="B78" s="16" t="str">
        <x:v>확장 40</x:v>
      </x:c>
      <x:c r="C78" s="16" t="str">
        <x:v>11월 2주</x:v>
      </x:c>
      <x:c r="D78" s="16" t="str">
        <x:v>울산·창원</x:v>
      </x:c>
      <x:c r="E78" s="16" t="str">
        <x:v>교보생명 울산사옥</x:v>
      </x:c>
      <x:c r="F78" s="16" t="str">
        <x:v>생명</x:v>
      </x:c>
      <x:c r="G78" s="16" t="str">
        <x:v>교보생명</x:v>
      </x:c>
      <x:c r="H78" s="16" t="str">
        <x:v>FP</x:v>
      </x:c>
      <x:c r="I78" s="16" t="str">
        <x:v>남울산FP</x:v>
      </x:c>
      <x:c r="J78" s="17" t="str">
        <x:v>울산 남구 중앙로 186 3층 남울산FP지점 (달동, 교보생명빌딩)</x:v>
      </x:c>
      <x:c r="K78" s="16" t="str">
        <x:v>052-266-4438</x:v>
      </x:c>
      <x:c r="L78" s="18" t="n">
        <x:v>3</x:v>
      </x:c>
      <x:c r="M78" s="18" t="n">
        <x:v>5</x:v>
      </x:c>
      <x:c r="N78" s="18" t="n">
        <x:v>5</x:v>
      </x:c>
      <x:c r="O78" s="18" t="n">
        <x:v>1</x:v>
      </x:c>
      <x:c r="P78" s="18" t="n">
        <x:f>ROUND((L78*30+M78*35+N78*20+O78*15)/5,0)</x:f>
        <x:v>76</x:v>
      </x:c>
      <x:c r="Q78" s="17" t="str">
        <x:v>같은 권역 2곳 이상 일정 확정 후 KTX·항공 이동 → 1명은 심층 인터뷰, 나머지는 15분 시연</x:v>
      </x:c>
      <x:c r="R78" s="19" t="str">
        <x:v>미연락</x:v>
      </x:c>
      <x:c r="S78" s="19" t="str">
        <x:v>미정</x:v>
      </x:c>
      <x:c r="T78" s="19" t="str"/>
      <x:c r="U78" s="21"/>
      <x:c r="V78" s="21"/>
      <x:c r="W78" s="22" t="n">
        <x:v>0</x:v>
      </x:c>
      <x:c r="X78" s="22" t="n">
        <x:v>0</x:v>
      </x:c>
      <x:c r="Y78" s="20" t="str"/>
      <x:c r="Z78" s="17" t="str">
        <x:v>https://www.kyobo.com/dgt/web/dtm/cs/ub/PCSUBNL7000</x:v>
      </x:c>
    </x:row>
    <x:row r="79" ht="38" customHeight="1">
      <x:c r="A79" s="16" t="n">
        <x:v>74</x:v>
      </x:c>
      <x:c r="B79" s="16" t="str">
        <x:v>확장 40</x:v>
      </x:c>
      <x:c r="C79" s="16" t="str">
        <x:v>11월 2주</x:v>
      </x:c>
      <x:c r="D79" s="16" t="str">
        <x:v>울산·창원</x:v>
      </x:c>
      <x:c r="E79" s="16" t="str">
        <x:v>울산 청보빌딩</x:v>
      </x:c>
      <x:c r="F79" s="16" t="str">
        <x:v>손해</x:v>
      </x:c>
      <x:c r="G79" s="16" t="str">
        <x:v>DB손해보험</x:v>
      </x:c>
      <x:c r="H79" s="16" t="str">
        <x:v>PA</x:v>
      </x:c>
      <x:c r="I79" s="16" t="str">
        <x:v>울산지점</x:v>
      </x:c>
      <x:c r="J79" s="17" t="str">
        <x:v>울산 남구 번영로 122 6층 (달동, 청보빌딩)</x:v>
      </x:c>
      <x:c r="K79" s="16" t="str">
        <x:v>052-228-4052</x:v>
      </x:c>
      <x:c r="L79" s="18" t="n">
        <x:v>3</x:v>
      </x:c>
      <x:c r="M79" s="18" t="n">
        <x:v>5</x:v>
      </x:c>
      <x:c r="N79" s="18" t="n">
        <x:v>5</x:v>
      </x:c>
      <x:c r="O79" s="18" t="n">
        <x:v>1</x:v>
      </x:c>
      <x:c r="P79" s="18" t="n">
        <x:f>ROUND((L79*30+M79*35+N79*20+O79*15)/5,0)</x:f>
        <x:v>76</x:v>
      </x:c>
      <x:c r="Q79" s="17" t="str">
        <x:v>같은 권역 2곳 이상 일정 확정 후 KTX·항공 이동 → 1명은 심층 인터뷰, 나머지는 15분 시연</x:v>
      </x:c>
      <x:c r="R79" s="19" t="str">
        <x:v>미연락</x:v>
      </x:c>
      <x:c r="S79" s="19" t="str">
        <x:v>미정</x:v>
      </x:c>
      <x:c r="T79" s="19" t="str"/>
      <x:c r="U79" s="21"/>
      <x:c r="V79" s="21"/>
      <x:c r="W79" s="22" t="n">
        <x:v>0</x:v>
      </x:c>
      <x:c r="X79" s="22" t="n">
        <x:v>0</x:v>
      </x:c>
      <x:c r="Y79" s="20" t="str"/>
      <x:c r="Z79" s="17" t="str">
        <x:v>https://www.idbins.com/FWCUSP1331.do</x:v>
      </x:c>
    </x:row>
    <x:row r="80" ht="38" customHeight="1">
      <x:c r="A80" s="16" t="n">
        <x:v>75</x:v>
      </x:c>
      <x:c r="B80" s="16" t="str">
        <x:v>확장 40</x:v>
      </x:c>
      <x:c r="C80" s="16" t="str">
        <x:v>11월 2주</x:v>
      </x:c>
      <x:c r="D80" s="16" t="str">
        <x:v>울산·창원</x:v>
      </x:c>
      <x:c r="E80" s="16" t="str">
        <x:v>창원 교원공제회관</x:v>
      </x:c>
      <x:c r="F80" s="16" t="str">
        <x:v>생명</x:v>
      </x:c>
      <x:c r="G80" s="16" t="str">
        <x:v>교보생명</x:v>
      </x:c>
      <x:c r="H80" s="16" t="str">
        <x:v>FP</x:v>
      </x:c>
      <x:c r="I80" s="16" t="str">
        <x:v>창원FP</x:v>
      </x:c>
      <x:c r="J80" s="17" t="str">
        <x:v>경남 창원시 성산구 중앙대로 107 8층 창원FP지점 (중앙동, 교원공제회관)</x:v>
      </x:c>
      <x:c r="K80" s="16" t="str">
        <x:v>055-282-1249</x:v>
      </x:c>
      <x:c r="L80" s="18" t="n">
        <x:v>3</x:v>
      </x:c>
      <x:c r="M80" s="18" t="n">
        <x:v>5</x:v>
      </x:c>
      <x:c r="N80" s="18" t="n">
        <x:v>5</x:v>
      </x:c>
      <x:c r="O80" s="18" t="n">
        <x:v>1</x:v>
      </x:c>
      <x:c r="P80" s="18" t="n">
        <x:f>ROUND((L80*30+M80*35+N80*20+O80*15)/5,0)</x:f>
        <x:v>76</x:v>
      </x:c>
      <x:c r="Q80" s="17" t="str">
        <x:v>같은 권역 2곳 이상 일정 확정 후 KTX·항공 이동 → 1명은 심층 인터뷰, 나머지는 15분 시연</x:v>
      </x:c>
      <x:c r="R80" s="19" t="str">
        <x:v>미연락</x:v>
      </x:c>
      <x:c r="S80" s="19" t="str">
        <x:v>미정</x:v>
      </x:c>
      <x:c r="T80" s="19" t="str"/>
      <x:c r="U80" s="21"/>
      <x:c r="V80" s="21"/>
      <x:c r="W80" s="22" t="n">
        <x:v>0</x:v>
      </x:c>
      <x:c r="X80" s="22" t="n">
        <x:v>0</x:v>
      </x:c>
      <x:c r="Y80" s="20" t="str"/>
      <x:c r="Z80" s="17" t="str">
        <x:v>https://www.kyobo.com/dgt/web/dtm/cs/ub/PCSUBNL7000</x:v>
      </x:c>
    </x:row>
    <x:row r="81" ht="38" customHeight="1">
      <x:c r="A81" s="16" t="n">
        <x:v>76</x:v>
      </x:c>
      <x:c r="B81" s="16" t="str">
        <x:v>확장 40</x:v>
      </x:c>
      <x:c r="C81" s="16" t="str">
        <x:v>11월 2주</x:v>
      </x:c>
      <x:c r="D81" s="16" t="str">
        <x:v>울산·창원</x:v>
      </x:c>
      <x:c r="E81" s="16" t="str">
        <x:v>창원 STX빌딩</x:v>
      </x:c>
      <x:c r="F81" s="16" t="str">
        <x:v>손해</x:v>
      </x:c>
      <x:c r="G81" s="16" t="str">
        <x:v>DB손해보험</x:v>
      </x:c>
      <x:c r="H81" s="16" t="str">
        <x:v>PA</x:v>
      </x:c>
      <x:c r="I81" s="16" t="str">
        <x:v>성산지점</x:v>
      </x:c>
      <x:c r="J81" s="17" t="str">
        <x:v>경남 창원시 성산구 중앙대로 105 14층 (중앙동, STX빌딩)</x:v>
      </x:c>
      <x:c r="K81" s="16" t="str">
        <x:v>055-280-8213</x:v>
      </x:c>
      <x:c r="L81" s="18" t="n">
        <x:v>3</x:v>
      </x:c>
      <x:c r="M81" s="18" t="n">
        <x:v>5</x:v>
      </x:c>
      <x:c r="N81" s="18" t="n">
        <x:v>5</x:v>
      </x:c>
      <x:c r="O81" s="18" t="n">
        <x:v>1</x:v>
      </x:c>
      <x:c r="P81" s="18" t="n">
        <x:f>ROUND((L81*30+M81*35+N81*20+O81*15)/5,0)</x:f>
        <x:v>76</x:v>
      </x:c>
      <x:c r="Q81" s="17" t="str">
        <x:v>같은 권역 2곳 이상 일정 확정 후 KTX·항공 이동 → 1명은 심층 인터뷰, 나머지는 15분 시연</x:v>
      </x:c>
      <x:c r="R81" s="19" t="str">
        <x:v>미연락</x:v>
      </x:c>
      <x:c r="S81" s="19" t="str">
        <x:v>미정</x:v>
      </x:c>
      <x:c r="T81" s="19" t="str"/>
      <x:c r="U81" s="21"/>
      <x:c r="V81" s="21"/>
      <x:c r="W81" s="22" t="n">
        <x:v>0</x:v>
      </x:c>
      <x:c r="X81" s="22" t="n">
        <x:v>0</x:v>
      </x:c>
      <x:c r="Y81" s="20" t="str"/>
      <x:c r="Z81" s="17" t="str">
        <x:v>https://www.idbins.com/FWCUSP1331.do</x:v>
      </x:c>
    </x:row>
    <x:row r="82" ht="38" customHeight="1">
      <x:c r="A82" s="16" t="n">
        <x:v>77</x:v>
      </x:c>
      <x:c r="B82" s="16" t="str">
        <x:v>확장 40</x:v>
      </x:c>
      <x:c r="C82" s="16" t="str">
        <x:v>11월 3주</x:v>
      </x:c>
      <x:c r="D82" s="16" t="str">
        <x:v>강원·제주</x:v>
      </x:c>
      <x:c r="E82" s="16" t="str">
        <x:v>춘천 MK빌딩</x:v>
      </x:c>
      <x:c r="F82" s="16" t="str">
        <x:v>생명</x:v>
      </x:c>
      <x:c r="G82" s="16" t="str">
        <x:v>교보생명</x:v>
      </x:c>
      <x:c r="H82" s="16" t="str">
        <x:v>FP</x:v>
      </x:c>
      <x:c r="I82" s="16" t="str">
        <x:v>춘천FP</x:v>
      </x:c>
      <x:c r="J82" s="17" t="str">
        <x:v>강원 춘천시 방송길 98-1 5층 교보생명 춘천FP지점 (온의동, MK빌딩)</x:v>
      </x:c>
      <x:c r="K82" s="16" t="str">
        <x:v>033-242-2245</x:v>
      </x:c>
      <x:c r="L82" s="18" t="n">
        <x:v>3</x:v>
      </x:c>
      <x:c r="M82" s="18" t="n">
        <x:v>5</x:v>
      </x:c>
      <x:c r="N82" s="18" t="n">
        <x:v>5</x:v>
      </x:c>
      <x:c r="O82" s="18" t="n">
        <x:v>1</x:v>
      </x:c>
      <x:c r="P82" s="18" t="n">
        <x:f>ROUND((L82*30+M82*35+N82*20+O82*15)/5,0)</x:f>
        <x:v>76</x:v>
      </x:c>
      <x:c r="Q82" s="17" t="str">
        <x:v>같은 권역 2곳 이상 일정 확정 후 KTX·항공 이동 → 1명은 심층 인터뷰, 나머지는 15분 시연</x:v>
      </x:c>
      <x:c r="R82" s="19" t="str">
        <x:v>미연락</x:v>
      </x:c>
      <x:c r="S82" s="19" t="str">
        <x:v>미정</x:v>
      </x:c>
      <x:c r="T82" s="19" t="str"/>
      <x:c r="U82" s="21"/>
      <x:c r="V82" s="21"/>
      <x:c r="W82" s="22" t="n">
        <x:v>0</x:v>
      </x:c>
      <x:c r="X82" s="22" t="n">
        <x:v>0</x:v>
      </x:c>
      <x:c r="Y82" s="20" t="str"/>
      <x:c r="Z82" s="17" t="str">
        <x:v>https://www.kyobo.com/dgt/web/dtm/cs/ub/PCSUBNL7000</x:v>
      </x:c>
    </x:row>
    <x:row r="83" ht="38" customHeight="1">
      <x:c r="A83" s="16" t="n">
        <x:v>78</x:v>
      </x:c>
      <x:c r="B83" s="16" t="str">
        <x:v>확장 40</x:v>
      </x:c>
      <x:c r="C83" s="16" t="str">
        <x:v>11월 3주</x:v>
      </x:c>
      <x:c r="D83" s="16" t="str">
        <x:v>강원·제주</x:v>
      </x:c>
      <x:c r="E83" s="16" t="str">
        <x:v>원주 센트럴스퀘어</x:v>
      </x:c>
      <x:c r="F83" s="16" t="str">
        <x:v>손해</x:v>
      </x:c>
      <x:c r="G83" s="16" t="str">
        <x:v>DB손해보험</x:v>
      </x:c>
      <x:c r="H83" s="16" t="str">
        <x:v>PA</x:v>
      </x:c>
      <x:c r="I83" s="16" t="str">
        <x:v>원주지점</x:v>
      </x:c>
      <x:c r="J83" s="17" t="str">
        <x:v>강원 원주시 황금로 8 센트럴스퀘어 4층 DB손해보험 원주지점 (반곡동)</x:v>
      </x:c>
      <x:c r="K83" s="16" t="str">
        <x:v>033-749-4020</x:v>
      </x:c>
      <x:c r="L83" s="18" t="n">
        <x:v>3</x:v>
      </x:c>
      <x:c r="M83" s="18" t="n">
        <x:v>5</x:v>
      </x:c>
      <x:c r="N83" s="18" t="n">
        <x:v>5</x:v>
      </x:c>
      <x:c r="O83" s="18" t="n">
        <x:v>1</x:v>
      </x:c>
      <x:c r="P83" s="18" t="n">
        <x:f>ROUND((L83*30+M83*35+N83*20+O83*15)/5,0)</x:f>
        <x:v>76</x:v>
      </x:c>
      <x:c r="Q83" s="17" t="str">
        <x:v>같은 권역 2곳 이상 일정 확정 후 KTX·항공 이동 → 1명은 심층 인터뷰, 나머지는 15분 시연</x:v>
      </x:c>
      <x:c r="R83" s="19" t="str">
        <x:v>미연락</x:v>
      </x:c>
      <x:c r="S83" s="19" t="str">
        <x:v>미정</x:v>
      </x:c>
      <x:c r="T83" s="19" t="str"/>
      <x:c r="U83" s="21"/>
      <x:c r="V83" s="21"/>
      <x:c r="W83" s="22" t="n">
        <x:v>0</x:v>
      </x:c>
      <x:c r="X83" s="22" t="n">
        <x:v>0</x:v>
      </x:c>
      <x:c r="Y83" s="20" t="str"/>
      <x:c r="Z83" s="17" t="str">
        <x:v>https://www.idbins.com/FWCUSP1331.do</x:v>
      </x:c>
    </x:row>
    <x:row r="84" ht="38" customHeight="1">
      <x:c r="A84" s="16" t="n">
        <x:v>79</x:v>
      </x:c>
      <x:c r="B84" s="16" t="str">
        <x:v>확장 40</x:v>
      </x:c>
      <x:c r="C84" s="16" t="str">
        <x:v>11월 3주</x:v>
      </x:c>
      <x:c r="D84" s="16" t="str">
        <x:v>강원·제주</x:v>
      </x:c>
      <x:c r="E84" s="16" t="str">
        <x:v>교보생명 제주사옥</x:v>
      </x:c>
      <x:c r="F84" s="16" t="str">
        <x:v>생명</x:v>
      </x:c>
      <x:c r="G84" s="16" t="str">
        <x:v>교보생명</x:v>
      </x:c>
      <x:c r="H84" s="16" t="str">
        <x:v>FP</x:v>
      </x:c>
      <x:c r="I84" s="16" t="str">
        <x:v>탐라FP</x:v>
      </x:c>
      <x:c r="J84" s="17" t="str">
        <x:v>제주 제주시 전농로 118 7층 탐라FP지점 (이도일동, 교보빌딩)</x:v>
      </x:c>
      <x:c r="K84" s="16" t="str">
        <x:v>064-751-0164</x:v>
      </x:c>
      <x:c r="L84" s="18" t="n">
        <x:v>3</x:v>
      </x:c>
      <x:c r="M84" s="18" t="n">
        <x:v>5</x:v>
      </x:c>
      <x:c r="N84" s="18" t="n">
        <x:v>5</x:v>
      </x:c>
      <x:c r="O84" s="18" t="n">
        <x:v>1</x:v>
      </x:c>
      <x:c r="P84" s="18" t="n">
        <x:f>ROUND((L84*30+M84*35+N84*20+O84*15)/5,0)</x:f>
        <x:v>76</x:v>
      </x:c>
      <x:c r="Q84" s="17" t="str">
        <x:v>같은 권역 2곳 이상 일정 확정 후 KTX·항공 이동 → 1명은 심층 인터뷰, 나머지는 15분 시연</x:v>
      </x:c>
      <x:c r="R84" s="19" t="str">
        <x:v>미연락</x:v>
      </x:c>
      <x:c r="S84" s="19" t="str">
        <x:v>미정</x:v>
      </x:c>
      <x:c r="T84" s="19" t="str"/>
      <x:c r="U84" s="21"/>
      <x:c r="V84" s="21"/>
      <x:c r="W84" s="22" t="n">
        <x:v>0</x:v>
      </x:c>
      <x:c r="X84" s="22" t="n">
        <x:v>0</x:v>
      </x:c>
      <x:c r="Y84" s="20" t="str"/>
      <x:c r="Z84" s="17" t="str">
        <x:v>https://www.kyobo.com/dgt/web/dtm/cs/ub/PCSUBNL7000</x:v>
      </x:c>
    </x:row>
    <x:row r="85" ht="38" customHeight="1">
      <x:c r="A85" s="16" t="n">
        <x:v>80</x:v>
      </x:c>
      <x:c r="B85" s="16" t="str">
        <x:v>확장 40</x:v>
      </x:c>
      <x:c r="C85" s="16" t="str">
        <x:v>11월 3주</x:v>
      </x:c>
      <x:c r="D85" s="16" t="str">
        <x:v>강원·제주</x:v>
      </x:c>
      <x:c r="E85" s="16" t="str">
        <x:v>제주 전문건설회관</x:v>
      </x:c>
      <x:c r="F85" s="16" t="str">
        <x:v>손해</x:v>
      </x:c>
      <x:c r="G85" s="16" t="str">
        <x:v>DB손해보험</x:v>
      </x:c>
      <x:c r="H85" s="16" t="str">
        <x:v>PA</x:v>
      </x:c>
      <x:c r="I85" s="16" t="str">
        <x:v>제주지점</x:v>
      </x:c>
      <x:c r="J85" s="17" t="str">
        <x:v>제주 제주시 연북로 17 4층 전문건설회관 DB손해보험 제주지점 (노형동)</x:v>
      </x:c>
      <x:c r="K85" s="16" t="str">
        <x:v>064-710-5530</x:v>
      </x:c>
      <x:c r="L85" s="18" t="n">
        <x:v>3</x:v>
      </x:c>
      <x:c r="M85" s="18" t="n">
        <x:v>5</x:v>
      </x:c>
      <x:c r="N85" s="18" t="n">
        <x:v>5</x:v>
      </x:c>
      <x:c r="O85" s="18" t="n">
        <x:v>1</x:v>
      </x:c>
      <x:c r="P85" s="18" t="n">
        <x:f>ROUND((L85*30+M85*35+N85*20+O85*15)/5,0)</x:f>
        <x:v>76</x:v>
      </x:c>
      <x:c r="Q85" s="17" t="str">
        <x:v>같은 권역 2곳 이상 일정 확정 후 KTX·항공 이동 → 1명은 심층 인터뷰, 나머지는 15분 시연</x:v>
      </x:c>
      <x:c r="R85" s="19" t="str">
        <x:v>미연락</x:v>
      </x:c>
      <x:c r="S85" s="19" t="str">
        <x:v>미정</x:v>
      </x:c>
      <x:c r="T85" s="19" t="str"/>
      <x:c r="U85" s="21"/>
      <x:c r="V85" s="21"/>
      <x:c r="W85" s="22" t="n">
        <x:v>0</x:v>
      </x:c>
      <x:c r="X85" s="22" t="n">
        <x:v>0</x:v>
      </x:c>
      <x:c r="Y85" s="20" t="str"/>
      <x:c r="Z85" s="17" t="str">
        <x:v>https://www.idbins.com/FWCUSP1331.do</x:v>
      </x:c>
    </x:row>
  </x:sheetData>
  <x:mergeCells>
    <x:mergeCell ref="A1:Z2"/>
    <x:mergeCell ref="A3:Z3"/>
  </x:mergeCells>
  <x:conditionalFormatting sqref="P6:P8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6:R85">
    <x:cfRule type="containsText" dxfId="0" priority="2" operator="containsText" text="미팅확정"/>
  </x:conditionalFormatting>
  <x:conditionalFormatting sqref="S6:S85">
    <x:cfRule type="containsText" dxfId="1" priority="3" operator="containsText" text="완료"/>
  </x:conditionalFormatting>
  <x:conditionalFormatting sqref="X6:X85">
    <x:cfRule type="cellIs" dxfId="2" priority="4" operator="greaterThan">
      <x:formula>0</x:formula>
    </x:cfRule>
  </x:conditionalFormatting>
  <x:dataValidations count="3">
    <x:dataValidation type="list" sqref="R6:R85">
      <x:formula1>"미연락,1차연락,담당자연결,미팅제안,미팅확정,보류,거절"</x:formula1>
    </x:dataValidation>
    <x:dataValidation type="list" sqref="S6:S85">
      <x:formula1>"미정,일정확정,완료,재방문,종료"</x:formula1>
    </x:dataValidation>
    <x:dataValidation type="whole" operator="between" sqref="L6:O8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ff92d2d9d4941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0.5600004196167" hidden="0" customWidth="1"/>
    <x:col min="3" max="3" width="10" hidden="0" customWidth="1"/>
    <x:col min="4" max="4" width="18.329999923706055" hidden="0" customWidth="1"/>
    <x:col min="5" max="5" width="28.889999389648438" hidden="0" customWidth="1"/>
    <x:col min="6" max="6" width="7.21999979019165" hidden="0" customWidth="1"/>
    <x:col min="7" max="7" width="11.109999656677246" hidden="0" customWidth="1"/>
    <x:col min="8" max="8" width="10" hidden="0" customWidth="1"/>
    <x:col min="9" max="9" width="40" hidden="0" customWidth="1"/>
  </x:cols>
  <x:sheetData>
    <x:row r="1" ht="28" customHeight="1">
      <x:c r="A1" s="4" t="str">
        <x:v>8월 건물별 방문 동선</x:v>
      </x:c>
      <x:c r="B1" s="4" t="str">
        <x:v>8월 건물별 방문 동선</x:v>
      </x:c>
      <x:c r="C1" s="4" t="str">
        <x:v>8월 건물별 방문 동선</x:v>
      </x:c>
      <x:c r="D1" s="4" t="str">
        <x:v>8월 건물별 방문 동선</x:v>
      </x:c>
      <x:c r="E1" s="4" t="str">
        <x:v>8월 건물별 방문 동선</x:v>
      </x:c>
      <x:c r="F1" s="4" t="str">
        <x:v>8월 건물별 방문 동선</x:v>
      </x:c>
      <x:c r="G1" s="4" t="str">
        <x:v>8월 건물별 방문 동선</x:v>
      </x:c>
      <x:c r="H1" s="4" t="str">
        <x:v>8월 건물별 방문 동선</x:v>
      </x:c>
      <x:c r="I1" s="4" t="str">
        <x:v>8월 건물별 방문 동선</x:v>
      </x:c>
    </x:row>
    <x:row r="2" ht="28" customHeight="1">
      <x:c r="A2" s="4" t="str">
        <x:v>8월 건물별 방문 동선</x:v>
      </x:c>
      <x:c r="B2" s="4" t="str">
        <x:v>8월 건물별 방문 동선</x:v>
      </x:c>
      <x:c r="C2" s="4" t="str">
        <x:v>8월 건물별 방문 동선</x:v>
      </x:c>
      <x:c r="D2" s="4" t="str">
        <x:v>8월 건물별 방문 동선</x:v>
      </x:c>
      <x:c r="E2" s="4" t="str">
        <x:v>8월 건물별 방문 동선</x:v>
      </x:c>
      <x:c r="F2" s="4" t="str">
        <x:v>8월 건물별 방문 동선</x:v>
      </x:c>
      <x:c r="G2" s="4" t="str">
        <x:v>8월 건물별 방문 동선</x:v>
      </x:c>
      <x:c r="H2" s="4" t="str">
        <x:v>8월 건물별 방문 동선</x:v>
      </x:c>
      <x:c r="I2" s="4" t="str">
        <x:v>8월 건물별 방문 동선</x:v>
      </x:c>
    </x:row>
    <x:row r="3" ht="32" customHeight="1">
      <x:c r="A3" s="8" t="str">
        <x:v>지점 수보다 ‘약속이 잡힌 관리직 수’를 우선합니다. 같은 건물에서 무리하게 전 지점을 돌지 말고, 하루 2~3개 미팅과 후속 연락 시간을 남깁니다.</x:v>
      </x:c>
      <x:c r="B3" s="8" t="str">
        <x:v>지점 수보다 ‘약속이 잡힌 관리직 수’를 우선합니다. 같은 건물에서 무리하게 전 지점을 돌지 말고, 하루 2~3개 미팅과 후속 연락 시간을 남깁니다.</x:v>
      </x:c>
      <x:c r="C3" s="8" t="str">
        <x:v>지점 수보다 ‘약속이 잡힌 관리직 수’를 우선합니다. 같은 건물에서 무리하게 전 지점을 돌지 말고, 하루 2~3개 미팅과 후속 연락 시간을 남깁니다.</x:v>
      </x:c>
      <x:c r="D3" s="8" t="str">
        <x:v>지점 수보다 ‘약속이 잡힌 관리직 수’를 우선합니다. 같은 건물에서 무리하게 전 지점을 돌지 말고, 하루 2~3개 미팅과 후속 연락 시간을 남깁니다.</x:v>
      </x:c>
      <x:c r="E3" s="8" t="str">
        <x:v>지점 수보다 ‘약속이 잡힌 관리직 수’를 우선합니다. 같은 건물에서 무리하게 전 지점을 돌지 말고, 하루 2~3개 미팅과 후속 연락 시간을 남깁니다.</x:v>
      </x:c>
      <x:c r="F3" s="8" t="str">
        <x:v>지점 수보다 ‘약속이 잡힌 관리직 수’를 우선합니다. 같은 건물에서 무리하게 전 지점을 돌지 말고, 하루 2~3개 미팅과 후속 연락 시간을 남깁니다.</x:v>
      </x:c>
      <x:c r="G3" s="8" t="str">
        <x:v>지점 수보다 ‘약속이 잡힌 관리직 수’를 우선합니다. 같은 건물에서 무리하게 전 지점을 돌지 말고, 하루 2~3개 미팅과 후속 연락 시간을 남깁니다.</x:v>
      </x:c>
      <x:c r="H3" s="8" t="str">
        <x:v>지점 수보다 ‘약속이 잡힌 관리직 수’를 우선합니다. 같은 건물에서 무리하게 전 지점을 돌지 말고, 하루 2~3개 미팅과 후속 연락 시간을 남깁니다.</x:v>
      </x:c>
      <x:c r="I3" s="8" t="str">
        <x:v>지점 수보다 ‘약속이 잡힌 관리직 수’를 우선합니다. 같은 건물에서 무리하게 전 지점을 돌지 말고, 하루 2~3개 미팅과 후속 연락 시간을 남깁니다.</x:v>
      </x:c>
    </x:row>
    <x:row r="5" ht="30" customHeight="1">
      <x:c r="A5" s="14" t="str">
        <x:v>순서</x:v>
      </x:c>
      <x:c r="B5" s="14" t="str">
        <x:v>실행주차</x:v>
      </x:c>
      <x:c r="C5" s="14" t="str">
        <x:v>권역</x:v>
      </x:c>
      <x:c r="D5" s="14" t="str">
        <x:v>건물·클러스터</x:v>
      </x:c>
      <x:c r="E5" s="14" t="str">
        <x:v>대표주소</x:v>
      </x:c>
      <x:c r="F5" s="14" t="str">
        <x:v>대상수</x:v>
      </x:c>
      <x:c r="G5" s="14" t="str">
        <x:v>회사</x:v>
      </x:c>
      <x:c r="H5" s="14" t="str">
        <x:v>추천일</x:v>
      </x:c>
      <x:c r="I5" s="14" t="str">
        <x:v>운영 방식</x:v>
      </x:c>
    </x:row>
    <x:row r="6" ht="44" customHeight="1">
      <x:c r="A6" s="24" t="n">
        <x:v>1</x:v>
      </x:c>
      <x:c r="B6" s="24" t="str">
        <x:v>8/3-8/7</x:v>
      </x:c>
      <x:c r="C6" s="24" t="str">
        <x:v>구로·신도림</x:v>
      </x:c>
      <x:c r="D6" s="24" t="str">
        <x:v>신도림테크노마트</x:v>
      </x:c>
      <x:c r="E6" s="25" t="str">
        <x:v>서울 구로구 새말로 97</x:v>
      </x:c>
      <x:c r="F6" s="28" t="n">
        <x:f>COUNTIF('전체 80곳'!$E$6:$E$85,D6)</x:f>
        <x:v>6</x:v>
      </x:c>
      <x:c r="G6" s="24" t="str">
        <x:v>교보생명</x:v>
      </x:c>
      <x:c r="H6" s="24" t="str">
        <x:v>8/5 오전</x:v>
      </x:c>
      <x:c r="I6" s="25" t="str">
        <x:v>FP 6개 지점에 지점별 시간 확정, 2~3개 지점만 연속 방문</x:v>
      </x:c>
    </x:row>
    <x:row r="7" ht="44" customHeight="1">
      <x:c r="A7" s="24" t="n">
        <x:v>2</x:v>
      </x:c>
      <x:c r="B7" s="24" t="str">
        <x:v>8/3-8/7</x:v>
      </x:c>
      <x:c r="C7" s="24" t="str">
        <x:v>구로·신도림</x:v>
      </x:c>
      <x:c r="D7" s="24" t="str">
        <x:v>신도림 디큐브시티</x:v>
      </x:c>
      <x:c r="E7" s="25" t="str">
        <x:v>서울 구로구 경인로 662</x:v>
      </x:c>
      <x:c r="F7" s="28" t="n">
        <x:f>COUNTIF('전체 80곳'!$E$6:$E$85,D7)</x:f>
        <x:v>7</x:v>
      </x:c>
      <x:c r="G7" s="24" t="str">
        <x:v>삼성화재</x:v>
      </x:c>
      <x:c r="H7" s="24" t="str">
        <x:v>8/6 오전</x:v>
      </x:c>
      <x:c r="I7" s="25" t="str">
        <x:v>RC 7개 지점, 대표번호 통화 후 지점장 미팅이 잡힌 곳만 방문</x:v>
      </x:c>
    </x:row>
    <x:row r="8" ht="44" customHeight="1">
      <x:c r="A8" s="24" t="n">
        <x:v>3</x:v>
      </x:c>
      <x:c r="B8" s="24" t="str">
        <x:v>8/3-8/7</x:v>
      </x:c>
      <x:c r="C8" s="24" t="str">
        <x:v>구로디지털</x:v>
      </x:c>
      <x:c r="D8" s="24" t="str">
        <x:v>구로 G밸리</x:v>
      </x:c>
      <x:c r="E8" s="25" t="str">
        <x:v>서울 구로구 디지털로 300·306</x:v>
      </x:c>
      <x:c r="F8" s="28" t="n">
        <x:f>COUNTIF('전체 80곳'!$E$6:$E$85,D8)</x:f>
        <x:v>5</x:v>
      </x:c>
      <x:c r="G8" s="24" t="str">
        <x:v>DB손해보험</x:v>
      </x:c>
      <x:c r="H8" s="24" t="str">
        <x:v>8/7 오전</x:v>
      </x:c>
      <x:c r="I8" s="25" t="str">
        <x:v>PA 5개 지점, 가까운 회사 기반 첫 피드백 사용자 확보</x:v>
      </x:c>
    </x:row>
    <x:row r="9" ht="44" customHeight="1">
      <x:c r="A9" s="24" t="n">
        <x:v>4</x:v>
      </x:c>
      <x:c r="B9" s="24" t="str">
        <x:v>8/10-8/14</x:v>
      </x:c>
      <x:c r="C9" s="24" t="str">
        <x:v>영등포·당산</x:v>
      </x:c>
      <x:c r="D9" s="24" t="str">
        <x:v>교보생명 당산사옥</x:v>
      </x:c>
      <x:c r="E9" s="25" t="str">
        <x:v>서울 영등포구 영등포로 96</x:v>
      </x:c>
      <x:c r="F9" s="28" t="n">
        <x:f>COUNTIF('전체 80곳'!$E$6:$E$85,D9)</x:f>
        <x:v>5</x:v>
      </x:c>
      <x:c r="G9" s="24" t="str">
        <x:v>교보생명</x:v>
      </x:c>
      <x:c r="H9" s="24" t="str">
        <x:v>8/12 오전</x:v>
      </x:c>
      <x:c r="I9" s="25" t="str">
        <x:v>FP 5개 지점, 오전 2곳·오후 1곳을 목표로 일정 분산</x:v>
      </x:c>
    </x:row>
    <x:row r="10" ht="44" customHeight="1">
      <x:c r="A10" s="24" t="n">
        <x:v>5</x:v>
      </x:c>
      <x:c r="B10" s="24" t="str">
        <x:v>8/10-8/14</x:v>
      </x:c>
      <x:c r="C10" s="24" t="str">
        <x:v>문래</x:v>
      </x:c>
      <x:c r="D10" s="24" t="str">
        <x:v>문래 세미콜론</x:v>
      </x:c>
      <x:c r="E10" s="25" t="str">
        <x:v>서울 영등포구 문래로28길 25</x:v>
      </x:c>
      <x:c r="F10" s="28" t="n">
        <x:f>COUNTIF('전체 80곳'!$E$6:$E$85,D10)</x:f>
        <x:v>4</x:v>
      </x:c>
      <x:c r="G10" s="24" t="str">
        <x:v>삼성화재</x:v>
      </x:c>
      <x:c r="H10" s="24" t="str">
        <x:v>8/13 오전</x:v>
      </x:c>
      <x:c r="I10" s="25" t="str">
        <x:v>RC 4개 지점, 관리자 미팅 후 관심 설계사 1명 소개 요청</x:v>
      </x:c>
    </x:row>
    <x:row r="11" ht="44" customHeight="1">
      <x:c r="A11" s="24" t="n">
        <x:v>6</x:v>
      </x:c>
      <x:c r="B11" s="24" t="str">
        <x:v>8/17-8/21</x:v>
      </x:c>
      <x:c r="C11" s="24" t="str">
        <x:v>강서·발산</x:v>
      </x:c>
      <x:c r="D11" s="24" t="str">
        <x:v>강서 송화쇼핑센터</x:v>
      </x:c>
      <x:c r="E11" s="25" t="str">
        <x:v>서울 강서구 강서로 267</x:v>
      </x:c>
      <x:c r="F11" s="28" t="n">
        <x:f>COUNTIF('전체 80곳'!$E$6:$E$85,D11)</x:f>
        <x:v>4</x:v>
      </x:c>
      <x:c r="G11" s="24" t="str">
        <x:v>교보생명</x:v>
      </x:c>
      <x:c r="H11" s="24" t="str">
        <x:v>8/19 오전</x:v>
      </x:c>
      <x:c r="I11" s="25" t="str">
        <x:v>FP 4개 지점, 설명보다 실제 증권 정리 시연을 중심으로 진행</x:v>
      </x:c>
    </x:row>
    <x:row r="12" ht="44" customHeight="1">
      <x:c r="A12" s="24" t="n">
        <x:v>7</x:v>
      </x:c>
      <x:c r="B12" s="24" t="str">
        <x:v>8/17-8/21</x:v>
      </x:c>
      <x:c r="C12" s="24" t="str">
        <x:v>마곡</x:v>
      </x:c>
      <x:c r="D12" s="24" t="str">
        <x:v>마곡 NY타워</x:v>
      </x:c>
      <x:c r="E12" s="25" t="str">
        <x:v>서울 강서구 마곡동로3길 6</x:v>
      </x:c>
      <x:c r="F12" s="28" t="n">
        <x:f>COUNTIF('전체 80곳'!$E$6:$E$85,D12)</x:f>
        <x:v>3</x:v>
      </x:c>
      <x:c r="G12" s="24" t="str">
        <x:v>DB손해보험</x:v>
      </x:c>
      <x:c r="H12" s="24" t="str">
        <x:v>8/20 오전</x:v>
      </x:c>
      <x:c r="I12" s="25" t="str">
        <x:v>PA 3개 지점, 지점장 승인 뒤 경험 많은 설계사 연결 요청</x:v>
      </x:c>
    </x:row>
    <x:row r="13" ht="44" customHeight="1">
      <x:c r="A13" s="24" t="n">
        <x:v>8</x:v>
      </x:c>
      <x:c r="B13" s="24" t="str">
        <x:v>8/17-8/21</x:v>
      </x:c>
      <x:c r="C13" s="24" t="str">
        <x:v>마곡</x:v>
      </x:c>
      <x:c r="D13" s="24" t="str">
        <x:v>마곡 마커스빌딩</x:v>
      </x:c>
      <x:c r="E13" s="25" t="str">
        <x:v>서울 강서구 마곡동로 55</x:v>
      </x:c>
      <x:c r="F13" s="28" t="n">
        <x:f>COUNTIF('전체 80곳'!$E$6:$E$85,D13)</x:f>
        <x:v>2</x:v>
      </x:c>
      <x:c r="G13" s="24" t="str">
        <x:v>삼성화재</x:v>
      </x:c>
      <x:c r="H13" s="24" t="str">
        <x:v>8/20 오후</x:v>
      </x:c>
      <x:c r="I13" s="25" t="str">
        <x:v>RC 2개 지점, 같은 날 NY타워 일정과 묶기</x:v>
      </x:c>
    </x:row>
    <x:row r="14" ht="44" customHeight="1">
      <x:c r="A14" s="24" t="n">
        <x:v>9</x:v>
      </x:c>
      <x:c r="B14" s="24" t="str">
        <x:v>8/24-8/28</x:v>
      </x:c>
      <x:c r="C14" s="24" t="str">
        <x:v>상암</x:v>
      </x:c>
      <x:c r="D14" s="24" t="str">
        <x:v>상암 성암로 179</x:v>
      </x:c>
      <x:c r="E14" s="25" t="str">
        <x:v>서울 마포구 성암로 179</x:v>
      </x:c>
      <x:c r="F14" s="28" t="n">
        <x:f>COUNTIF('전체 80곳'!$E$6:$E$85,D14)</x:f>
        <x:v>2</x:v>
      </x:c>
      <x:c r="G14" s="24" t="str">
        <x:v>삼성화재</x:v>
      </x:c>
      <x:c r="H14" s="24" t="str">
        <x:v>8/26 오전</x:v>
      </x:c>
      <x:c r="I14" s="25" t="str">
        <x:v>RC 2개 지점, 8월 누적 반응을 반영한 시연으로 개선</x:v>
      </x:c>
    </x:row>
    <x:row r="15" ht="44" customHeight="1">
      <x:c r="A15" s="24" t="n">
        <x:v>10</x:v>
      </x:c>
      <x:c r="B15" s="24" t="str">
        <x:v>8/24-8/28</x:v>
      </x:c>
      <x:c r="C15" s="24" t="str">
        <x:v>합정</x:v>
      </x:c>
      <x:c r="D15" s="24" t="str">
        <x:v>합정오피스빌딩</x:v>
      </x:c>
      <x:c r="E15" s="25" t="str">
        <x:v>서울 마포구 양화로 19</x:v>
      </x:c>
      <x:c r="F15" s="28" t="n">
        <x:f>COUNTIF('전체 80곳'!$E$6:$E$85,D15)</x:f>
        <x:v>2</x:v>
      </x:c>
      <x:c r="G15" s="24" t="str">
        <x:v>DB손해보험</x:v>
      </x:c>
      <x:c r="H15" s="24" t="str">
        <x:v>8/27 오전</x:v>
      </x:c>
      <x:c r="I15" s="25" t="str">
        <x:v>PA 2개 지점, 사용 시작자와 커피 심층 인터뷰 일정까지 확정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d3a6628f544640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4.4399995803833" hidden="0" customWidth="1"/>
    <x:col min="3" max="3" width="36.66999816894531" hidden="0" customWidth="1"/>
    <x:col min="4" max="4" width="22.219999313354492" hidden="0" customWidth="1"/>
    <x:col min="5" max="5" width="36.66999816894531" hidden="0" customWidth="1"/>
    <x:col min="6" max="6" width="28.889999389648438" hidden="0" customWidth="1"/>
  </x:cols>
  <x:sheetData>
    <x:row r="1" ht="28" customHeight="1">
      <x:c r="A1" s="4" t="str">
        <x:v>선정 기준과 출처</x:v>
      </x:c>
      <x:c r="B1" s="4" t="str">
        <x:v>선정 기준과 출처</x:v>
      </x:c>
      <x:c r="C1" s="4" t="str">
        <x:v>선정 기준과 출처</x:v>
      </x:c>
      <x:c r="D1" s="4" t="str">
        <x:v>선정 기준과 출처</x:v>
      </x:c>
      <x:c r="E1" s="4" t="str">
        <x:v>선정 기준과 출처</x:v>
      </x:c>
      <x:c r="F1" s="4" t="str">
        <x:v>선정 기준과 출처</x:v>
      </x:c>
    </x:row>
    <x:row r="2" ht="28" customHeight="1">
      <x:c r="A2" s="4" t="str">
        <x:v>선정 기준과 출처</x:v>
      </x:c>
      <x:c r="B2" s="4" t="str">
        <x:v>선정 기준과 출처</x:v>
      </x:c>
      <x:c r="C2" s="4" t="str">
        <x:v>선정 기준과 출처</x:v>
      </x:c>
      <x:c r="D2" s="4" t="str">
        <x:v>선정 기준과 출처</x:v>
      </x:c>
      <x:c r="E2" s="4" t="str">
        <x:v>선정 기준과 출처</x:v>
      </x:c>
      <x:c r="F2" s="4" t="str">
        <x:v>선정 기준과 출처</x:v>
      </x:c>
    </x:row>
    <x:row r="3" ht="32" customHeight="1">
      <x:c r="A3" s="8" t="str">
        <x:v>공개된 공식 영업점 데이터가 명확한 교보생명 FP, 삼성화재 RC, DB손해보험 PA를 1차로 선정했습니다. 다른 원수사와 GA는 대표번호 연결 또는 공시명부 정리가 필요한 2차 조사 범위입니다.</x:v>
      </x:c>
      <x:c r="B3" s="8" t="str">
        <x:v>공개된 공식 영업점 데이터가 명확한 교보생명 FP, 삼성화재 RC, DB손해보험 PA를 1차로 선정했습니다. 다른 원수사와 GA는 대표번호 연결 또는 공시명부 정리가 필요한 2차 조사 범위입니다.</x:v>
      </x:c>
      <x:c r="C3" s="8" t="str">
        <x:v>공개된 공식 영업점 데이터가 명확한 교보생명 FP, 삼성화재 RC, DB손해보험 PA를 1차로 선정했습니다. 다른 원수사와 GA는 대표번호 연결 또는 공시명부 정리가 필요한 2차 조사 범위입니다.</x:v>
      </x:c>
      <x:c r="D3" s="8" t="str">
        <x:v>공개된 공식 영업점 데이터가 명확한 교보생명 FP, 삼성화재 RC, DB손해보험 PA를 1차로 선정했습니다. 다른 원수사와 GA는 대표번호 연결 또는 공시명부 정리가 필요한 2차 조사 범위입니다.</x:v>
      </x:c>
      <x:c r="E3" s="8" t="str">
        <x:v>공개된 공식 영업점 데이터가 명확한 교보생명 FP, 삼성화재 RC, DB손해보험 PA를 1차로 선정했습니다. 다른 원수사와 GA는 대표번호 연결 또는 공시명부 정리가 필요한 2차 조사 범위입니다.</x:v>
      </x:c>
      <x:c r="F3" s="8" t="str">
        <x:v>공개된 공식 영업점 데이터가 명확한 교보생명 FP, 삼성화재 RC, DB손해보험 PA를 1차로 선정했습니다. 다른 원수사와 GA는 대표번호 연결 또는 공시명부 정리가 필요한 2차 조사 범위입니다.</x:v>
      </x:c>
    </x:row>
    <x:row r="5" ht="30" customHeight="1">
      <x:c r="A5" s="14" t="str">
        <x:v>평가항목</x:v>
      </x:c>
      <x:c r="B5" s="14" t="str">
        <x:v>가중치</x:v>
      </x:c>
      <x:c r="C5" s="14" t="str">
        <x:v>5점 기준</x:v>
      </x:c>
      <x:c r="D5" s="14" t="str">
        <x:v>선정 의미</x:v>
      </x:c>
    </x:row>
    <x:row r="6" ht="44" customHeight="1">
      <x:c r="A6" s="24" t="str">
        <x:v>설계사 접점</x:v>
      </x:c>
      <x:c r="B6" s="37" t="n">
        <x:v>35</x:v>
      </x:c>
      <x:c r="C6" s="25" t="str">
        <x:v>전속 설계사가 상주하는 FP·RC·PA 지점</x:v>
      </x:c>
      <x:c r="D6" s="25" t="str">
        <x:v>실제 사용 시작자와 반복 피드백 가능성</x:v>
      </x:c>
      <x:c r="E6" s="25"/>
      <x:c r="F6" s="25"/>
    </x:row>
    <x:row r="7" ht="44" customHeight="1">
      <x:c r="A7" s="24" t="str">
        <x:v>관리직 효과</x:v>
      </x:c>
      <x:c r="B7" s="37" t="n">
        <x:v>30</x:v>
      </x:c>
      <x:c r="C7" s="25" t="str">
        <x:v>같은 건물에 여러 지점·팀이 밀집</x:v>
      </x:c>
      <x:c r="D7" s="25" t="str">
        <x:v>한 명의 조직 구매자가 아니라 초기 사용자 소개자 확보</x:v>
      </x:c>
      <x:c r="E7" s="25"/>
      <x:c r="F7" s="25"/>
    </x:row>
    <x:row r="8" ht="44" customHeight="1">
      <x:c r="A8" s="24" t="str">
        <x:v>공식확인</x:v>
      </x:c>
      <x:c r="B8" s="37" t="n">
        <x:v>20</x:v>
      </x:c>
      <x:c r="C8" s="25" t="str">
        <x:v>원수사 공식 지점검색의 최신 결과</x:v>
      </x:c>
      <x:c r="D8" s="25" t="str">
        <x:v>고객센터·보상센터 혼입 방지</x:v>
      </x:c>
      <x:c r="E8" s="25"/>
      <x:c r="F8" s="25"/>
    </x:row>
    <x:row r="9" ht="44" customHeight="1">
      <x:c r="A9" s="24" t="str">
        <x:v>구로 접근</x:v>
      </x:c>
      <x:c r="B9" s="37" t="n">
        <x:v>15</x:v>
      </x:c>
      <x:c r="C9" s="25" t="str">
        <x:v>구로·신도림에서 차량 이동이 쉬움</x:v>
      </x:c>
      <x:c r="D9" s="25" t="str">
        <x:v>8월 차량 운영 기간 내 반복 방문 가능성</x:v>
      </x:c>
      <x:c r="E9" s="25"/>
      <x:c r="F9" s="25"/>
    </x:row>
    <x:row r="10" ht="44" customHeight="1">
      <x:c r="A10" s="24"/>
      <x:c r="B10" s="24"/>
      <x:c r="C10" s="25"/>
      <x:c r="D10" s="25"/>
      <x:c r="E10" s="25"/>
      <x:c r="F10" s="25"/>
    </x:row>
    <x:row r="11" ht="44" customHeight="1">
      <x:c r="A11" s="34" t="str">
        <x:v>구분</x:v>
      </x:c>
      <x:c r="B11" s="34" t="str">
        <x:v>회사·기관</x:v>
      </x:c>
      <x:c r="C11" s="34" t="str">
        <x:v>확인 내용</x:v>
      </x:c>
      <x:c r="D11" s="34" t="str">
        <x:v>확인일</x:v>
      </x:c>
      <x:c r="E11" s="34" t="str">
        <x:v>공식 URL</x:v>
      </x:c>
      <x:c r="F11" s="34" t="str">
        <x:v>비고</x:v>
      </x:c>
    </x:row>
    <x:row r="12" ht="44" customHeight="1">
      <x:c r="A12" s="24" t="str">
        <x:v>영업점</x:v>
      </x:c>
      <x:c r="B12" s="24" t="str">
        <x:v>교보생명</x:v>
      </x:c>
      <x:c r="C12" s="25" t="str">
        <x:v>보험가입·계약상담 FP 지점 393개 검색 결과에서 선정</x:v>
      </x:c>
      <x:c r="D12" s="25" t="str">
        <x:v>2026-08-03</x:v>
      </x:c>
      <x:c r="E12" s="25" t="str">
        <x:v>https://www.kyobo.com/dgt/web/dtm/cs/ub/PCSUBNL7000</x:v>
      </x:c>
      <x:c r="F12" s="25" t="str">
        <x:v>FP·GFP·지원단 중 FP 현장지점 중심</x:v>
      </x:c>
    </x:row>
    <x:row r="13" ht="44" customHeight="1">
      <x:c r="A13" s="24" t="str">
        <x:v>영업점</x:v>
      </x:c>
      <x:c r="B13" s="24" t="str">
        <x:v>삼성화재</x:v>
      </x:c>
      <x:c r="C13" s="25" t="str">
        <x:v>지역단·지점 검색 결과에서 RC 현장지점 선정</x:v>
      </x:c>
      <x:c r="D13" s="25" t="str">
        <x:v>2026-08-03</x:v>
      </x:c>
      <x:c r="E13" s="25" t="str">
        <x:v>https://www.samsungfire.com/sfmi/ui/m/home/cust/MO_CS_SearchBranchList.html</x:v>
      </x:c>
      <x:c r="F13" s="25" t="str">
        <x:v>GA·TM·CS·보상·법인 조직 제외</x:v>
      </x:c>
    </x:row>
    <x:row r="14" ht="44" customHeight="1">
      <x:c r="A14" s="24" t="str">
        <x:v>영업점</x:v>
      </x:c>
      <x:c r="B14" s="24" t="str">
        <x:v>DB손해보험</x:v>
      </x:c>
      <x:c r="C14" s="25" t="str">
        <x:v>보험가입상담 및 PA 창업 문의 영업지점 결과에서 선정</x:v>
      </x:c>
      <x:c r="D14" s="25" t="str">
        <x:v>2026-08-03</x:v>
      </x:c>
      <x:c r="E14" s="25" t="str">
        <x:v>https://www.idbins.com/FWCUSP1331.do</x:v>
      </x:c>
      <x:c r="F14" s="25" t="str">
        <x:v>고객서비스센터·보상·정비망 제외</x:v>
      </x:c>
    </x:row>
    <x:row r="15" ht="44" customHeight="1">
      <x:c r="A15" s="24" t="str">
        <x:v>회원사</x:v>
      </x:c>
      <x:c r="B15" s="24" t="str">
        <x:v>생명보험협회</x:v>
      </x:c>
      <x:c r="C15" s="25" t="str">
        <x:v>생명보험 정회원사와 본사 연락처 확인</x:v>
      </x:c>
      <x:c r="D15" s="25" t="str">
        <x:v>2026-08-03</x:v>
      </x:c>
      <x:c r="E15" s="25" t="str">
        <x:v>https://www.klia.or.kr/klia/company/member/list.do</x:v>
      </x:c>
      <x:c r="F15" s="25" t="str">
        <x:v>다른 생명 원수사 2차 연결 근거</x:v>
      </x:c>
    </x:row>
    <x:row r="16" ht="44" customHeight="1">
      <x:c r="A16" s="24" t="str">
        <x:v>회원사</x:v>
      </x:c>
      <x:c r="B16" s="24" t="str">
        <x:v>손해보험협회</x:v>
      </x:c>
      <x:c r="C16" s="25" t="str">
        <x:v>손해보험 정회원사 범위 확인</x:v>
      </x:c>
      <x:c r="D16" s="25" t="str">
        <x:v>2026-08-03</x:v>
      </x:c>
      <x:c r="E16" s="25" t="str">
        <x:v>https://kpub.knia.or.kr/managementDisc/spot/spotDisclosure.do</x:v>
      </x:c>
      <x:c r="F16" s="25" t="str">
        <x:v>다른 손해 원수사 2차 연결 근거</x:v>
      </x:c>
    </x:row>
    <x:row r="17" ht="44" customHeight="1">
      <x:c r="A17" s="24" t="str">
        <x:v>GA 2차</x:v>
      </x:c>
      <x:c r="B17" s="24" t="str">
        <x:v>보험대리점공시</x:v>
      </x:c>
      <x:c r="C17" s="25" t="str">
        <x:v>법인보험대리점 명부·공시 확인</x:v>
      </x:c>
      <x:c r="D17" s="25" t="str">
        <x:v>2026-08-03</x:v>
      </x:c>
      <x:c r="E17" s="25" t="str">
        <x:v>https://gapub.insure.or.kr/</x:v>
      </x:c>
      <x:c r="F17" s="25" t="str">
        <x:v>원수사 1차 실행 후 대형 법인 GA부터 정리</x:v>
      </x:c>
    </x:row>
    <x:row r="18" ht="44" customHeight="1">
      <x:c r="A18" s="24" t="str">
        <x:v>GA 2차</x:v>
      </x:c>
      <x:c r="B18" s="24" t="str">
        <x:v>e클린보험서비스</x:v>
      </x:c>
      <x:c r="C18" s="25" t="str">
        <x:v>보험설계사·대리점 등록정보 확인</x:v>
      </x:c>
      <x:c r="D18" s="25" t="str">
        <x:v>2026-08-03</x:v>
      </x:c>
      <x:c r="E18" s="25" t="str">
        <x:v>https://www.e-cleanins.or.kr/</x:v>
      </x:c>
      <x:c r="F18" s="25" t="str">
        <x:v>개별 연락 전 소속·등록 상태 검증</x:v>
      </x:c>
    </x:row>
    <x:row r="19" ht="44" customHeight="1">
      <x:c r="A19" s="24" t="str">
        <x:v>제외원칙</x:v>
      </x:c>
      <x:c r="B19" s="24" t="str">
        <x:v>공통</x:v>
      </x:c>
      <x:c r="C19" s="25" t="str">
        <x:v>고객PLAZA·보상센터·TM·GA센터·법인전담은 이번 80곳에서 제외</x:v>
      </x:c>
      <x:c r="D19" s="25" t="str">
        <x:v>2026-08-03</x:v>
      </x:c>
      <x:c r="E19" s="25" t="str">
        <x:v>-</x:v>
      </x:c>
      <x:c r="F19" s="25" t="str">
        <x:v>개인 설계사 사용·피드백 목표에 맞춤</x:v>
      </x:c>
    </x:row>
    <x:row r="20" ht="44" customHeight="1">
      <x:c r="A20" s="24"/>
      <x:c r="B20" s="24"/>
      <x:c r="C20" s="25"/>
      <x:c r="D20" s="25"/>
      <x:c r="E20" s="25"/>
      <x:c r="F20" s="25"/>
    </x:row>
    <x:row r="21" ht="44" customHeight="1">
      <x:c r="A21" s="35" t="str">
        <x:v>현장 적용 원칙</x:v>
      </x:c>
      <x:c r="B21" s="35" t="str">
        <x:v>현장 적용 원칙</x:v>
      </x:c>
      <x:c r="C21" s="36" t="str">
        <x:v>현장 적용 원칙</x:v>
      </x:c>
      <x:c r="D21" s="36" t="str">
        <x:v>현장 적용 원칙</x:v>
      </x:c>
      <x:c r="E21" s="36" t="str">
        <x:v>현장 적용 원칙</x:v>
      </x:c>
      <x:c r="F21" s="36" t="str">
        <x:v>현장 적용 원칙</x:v>
      </x:c>
    </x:row>
    <x:row r="22" ht="44" customHeight="1">
      <x:c r="A22" s="24" t="str">
        <x:v>1</x:v>
      </x:c>
      <x:c r="B22" s="24" t="str">
        <x:v>전화 우선</x:v>
      </x:c>
      <x:c r="C22" s="25" t="str">
        <x:v>지점장·팀장에게 15분 시연과 실제 사용성 피드백 요청</x:v>
      </x:c>
      <x:c r="D22" s="25" t="str"/>
      <x:c r="E22" s="25" t="str"/>
      <x:c r="F22" s="25" t="str"/>
    </x:row>
    <x:row r="23" ht="44" customHeight="1">
      <x:c r="A23" s="24" t="str">
        <x:v>2</x:v>
      </x:c>
      <x:c r="B23" s="24" t="str">
        <x:v>미팅 확정 후 방문</x:v>
      </x:c>
      <x:c r="C23" s="25" t="str">
        <x:v>사전 승인 없이 인쇄물만 두고 오는 방식은 보조로만 사용</x:v>
      </x:c>
      <x:c r="D23" s="25" t="str"/>
      <x:c r="E23" s="25" t="str"/>
      <x:c r="F23" s="25" t="str"/>
    </x:row>
    <x:row r="24" ht="44" customHeight="1">
      <x:c r="A24" s="24" t="str">
        <x:v>3</x:v>
      </x:c>
      <x:c r="B24" s="24" t="str">
        <x:v>관리직 역할</x:v>
      </x:c>
      <x:c r="C24" s="25" t="str">
        <x:v>팀 가입 결정권자가 아니라 본인 사용과 설계사 소개를 돕는 인플루언서</x:v>
      </x:c>
      <x:c r="D24" s="25" t="str"/>
      <x:c r="E24" s="25" t="str"/>
      <x:c r="F24" s="25" t="str"/>
    </x:row>
    <x:row r="25" ht="44" customHeight="1">
      <x:c r="A25" s="24" t="str">
        <x:v>4</x:v>
      </x:c>
      <x:c r="B25" s="24" t="str">
        <x:v>현장 목표</x:v>
      </x:c>
      <x:c r="C25" s="25" t="str">
        <x:v>한 지점에서 관리직 1명 + 경험 있는 설계사 1명 소개</x:v>
      </x:c>
      <x:c r="D25" s="25" t="str"/>
      <x:c r="E25" s="25" t="str"/>
      <x:c r="F25" s="25" t="str"/>
    </x:row>
    <x:row r="26" ht="44" customHeight="1">
      <x:c r="A26" s="24" t="str">
        <x:v>5</x:v>
      </x:c>
      <x:c r="B26" s="24" t="str">
        <x:v>후속 목표</x:v>
      </x:c>
      <x:c r="C26" s="25" t="str">
        <x:v>사용 시작 48시간 안에 첫 확인, 7일 안에 커피 심층 인터뷰 제안</x:v>
      </x:c>
      <x:c r="D26" s="25" t="str"/>
      <x:c r="E26" s="25" t="str"/>
      <x:c r="F26" s="25" t="str"/>
    </x:row>
    <x:row r="27" ht="44" customHeight="1">
      <x:c r="A27" s="24" t="str">
        <x:v>6</x:v>
      </x:c>
      <x:c r="B27" s="24" t="str">
        <x:v>최종 KPI</x:v>
      </x:c>
      <x:c r="C27" s="25" t="str">
        <x:v>2026년 실제 피드백 사용자 20명 확보</x:v>
      </x:c>
      <x:c r="D27" s="25" t="str"/>
      <x:c r="E27" s="25" t="str"/>
      <x:c r="F27" s="25" t="str"/>
    </x:row>
  </x:sheetData>
  <x:mergeCells>
    <x:mergeCell ref="A1:F2"/>
    <x:mergeCell ref="A3:F3"/>
    <x:mergeCell ref="A21:F21"/>
  </x:mergeCells>
  <x:pageMargins left="0.7" right="0.7" top="0.75" bottom="0.75" header="0.3" footer="0.3"/>
</x:worksheet>
</file>